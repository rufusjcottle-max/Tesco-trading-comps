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https://livewarwickac-my.sharepoint.com/personal/u5706552_live_warwick_ac_uk/Documents/Investment banking/daily tasks/comps/"/>
    </mc:Choice>
  </mc:AlternateContent>
  <xr:revisionPtr revIDLastSave="321" documentId="8_{054691AA-039E-B84D-85B3-05D050494A21}" xr6:coauthVersionLast="47" xr6:coauthVersionMax="47" xr10:uidLastSave="{A133E84D-F82D-644E-8E75-CB30916D8F2D}"/>
  <bookViews>
    <workbookView xWindow="17080" yWindow="680" windowWidth="17100" windowHeight="19980" activeTab="2" xr2:uid="{00000000-000D-0000-FFFF-FFFF00000000}"/>
  </bookViews>
  <sheets>
    <sheet name="2. Universe" sheetId="2" r:id="rId1"/>
    <sheet name="3. Comp Sheet" sheetId="3" r:id="rId2"/>
    <sheet name="4. Benchmark" sheetId="4" r:id="rId3"/>
    <sheet name="5. Valuation"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5" l="1"/>
  <c r="D10" i="5"/>
  <c r="C10" i="5"/>
  <c r="AI6" i="3"/>
  <c r="AI7" i="3"/>
  <c r="AE6" i="3"/>
  <c r="AD11" i="3"/>
  <c r="AD10" i="3"/>
  <c r="AD9" i="3"/>
  <c r="AE7" i="3"/>
  <c r="AA6" i="3"/>
  <c r="AA7" i="3"/>
  <c r="T6" i="3"/>
  <c r="F8" i="3"/>
  <c r="C17" i="5"/>
  <c r="E11" i="5"/>
  <c r="D11" i="5"/>
  <c r="C11" i="5"/>
  <c r="E7" i="5"/>
  <c r="E8" i="5" s="1"/>
  <c r="D7" i="5"/>
  <c r="C7" i="5"/>
  <c r="C8" i="5" s="1"/>
  <c r="D6" i="5"/>
  <c r="D8" i="5" s="1"/>
  <c r="B14" i="4"/>
  <c r="B13" i="4"/>
  <c r="B12" i="4"/>
  <c r="B11" i="4"/>
  <c r="B10" i="4"/>
  <c r="B9" i="4"/>
  <c r="B8" i="4"/>
  <c r="B7" i="4"/>
  <c r="AL14" i="3"/>
  <c r="AE14" i="3"/>
  <c r="AD14" i="3"/>
  <c r="AC14" i="3"/>
  <c r="C14" i="4" s="1"/>
  <c r="AB14" i="3"/>
  <c r="AJ14" i="3"/>
  <c r="H14" i="4" s="1"/>
  <c r="F14" i="3"/>
  <c r="AL12" i="3"/>
  <c r="AE12" i="3"/>
  <c r="AD12" i="3"/>
  <c r="AC12" i="3"/>
  <c r="C12" i="4" s="1"/>
  <c r="AB12" i="3"/>
  <c r="M12" i="3"/>
  <c r="AJ12" i="3" s="1"/>
  <c r="H12" i="4" s="1"/>
  <c r="J12" i="3"/>
  <c r="F12" i="3"/>
  <c r="AL11" i="3"/>
  <c r="AE11" i="3"/>
  <c r="AC11" i="3"/>
  <c r="C11" i="4" s="1"/>
  <c r="AB11" i="3"/>
  <c r="M11" i="3"/>
  <c r="AJ11" i="3" s="1"/>
  <c r="H11" i="4" s="1"/>
  <c r="J11" i="3"/>
  <c r="F11" i="3"/>
  <c r="AL10" i="3"/>
  <c r="AE10" i="3"/>
  <c r="AC10" i="3"/>
  <c r="C10" i="4" s="1"/>
  <c r="AB10" i="3"/>
  <c r="M10" i="3"/>
  <c r="AJ10" i="3" s="1"/>
  <c r="H10" i="4" s="1"/>
  <c r="J10" i="3"/>
  <c r="F10" i="3"/>
  <c r="AL9" i="3"/>
  <c r="AE9" i="3"/>
  <c r="AC9" i="3"/>
  <c r="C9" i="4" s="1"/>
  <c r="AB9" i="3"/>
  <c r="M9" i="3"/>
  <c r="AJ9" i="3" s="1"/>
  <c r="H9" i="4" s="1"/>
  <c r="J9" i="3"/>
  <c r="F9" i="3"/>
  <c r="AL8" i="3"/>
  <c r="AE8" i="3"/>
  <c r="AD8" i="3"/>
  <c r="AC8" i="3"/>
  <c r="C8" i="4" s="1"/>
  <c r="AB8" i="3"/>
  <c r="M8" i="3"/>
  <c r="AJ8" i="3" s="1"/>
  <c r="H8" i="4" s="1"/>
  <c r="J8" i="3"/>
  <c r="AL7" i="3"/>
  <c r="AD7" i="3"/>
  <c r="AC7" i="3"/>
  <c r="C7" i="4" s="1"/>
  <c r="AB7" i="3"/>
  <c r="M7" i="3"/>
  <c r="AJ7" i="3" s="1"/>
  <c r="H7" i="4" s="1"/>
  <c r="J7" i="3"/>
  <c r="F7" i="3"/>
  <c r="AL6" i="3"/>
  <c r="AD6" i="3"/>
  <c r="AC6" i="3"/>
  <c r="C6" i="4" s="1"/>
  <c r="AB6" i="3"/>
  <c r="M6" i="3"/>
  <c r="E9" i="5" s="1"/>
  <c r="J6" i="3"/>
  <c r="F6" i="3"/>
  <c r="N10" i="3" l="1"/>
  <c r="N9" i="3"/>
  <c r="O9" i="3" s="1"/>
  <c r="N8" i="3"/>
  <c r="AA8" i="3" s="1"/>
  <c r="AA14" i="3"/>
  <c r="N11" i="3"/>
  <c r="AA11" i="3" s="1"/>
  <c r="E12" i="5"/>
  <c r="N6" i="3"/>
  <c r="C13" i="5" s="1"/>
  <c r="AA9" i="3"/>
  <c r="H19" i="4"/>
  <c r="H17" i="4"/>
  <c r="H18" i="4"/>
  <c r="H16" i="4"/>
  <c r="C16" i="4"/>
  <c r="C17" i="4"/>
  <c r="O10" i="3"/>
  <c r="AA10" i="3"/>
  <c r="C18" i="4"/>
  <c r="N7" i="3"/>
  <c r="C19" i="4"/>
  <c r="C9" i="5"/>
  <c r="C12" i="5" s="1"/>
  <c r="N12" i="3"/>
  <c r="D9" i="5"/>
  <c r="D12" i="5" s="1"/>
  <c r="AJ6" i="3"/>
  <c r="H6" i="4" s="1"/>
  <c r="O8" i="3" l="1"/>
  <c r="T8" i="3" s="1"/>
  <c r="AH8" i="3" s="1"/>
  <c r="F8" i="4" s="1"/>
  <c r="AI14" i="3"/>
  <c r="G14" i="4" s="1"/>
  <c r="AI8" i="3"/>
  <c r="G8" i="4" s="1"/>
  <c r="O11" i="3"/>
  <c r="AI11" i="3" s="1"/>
  <c r="G11" i="4" s="1"/>
  <c r="D13" i="5"/>
  <c r="D14" i="5" s="1"/>
  <c r="C18" i="5" s="1"/>
  <c r="O6" i="3"/>
  <c r="G6" i="4" s="1"/>
  <c r="E13" i="5"/>
  <c r="E14" i="5" s="1"/>
  <c r="E15" i="5" s="1"/>
  <c r="C14" i="5"/>
  <c r="C15" i="5" s="1"/>
  <c r="O7" i="3"/>
  <c r="AI9" i="3"/>
  <c r="G9" i="4" s="1"/>
  <c r="T9" i="3"/>
  <c r="AH9" i="3" s="1"/>
  <c r="AA12" i="3"/>
  <c r="O12" i="3"/>
  <c r="AI10" i="3"/>
  <c r="G10" i="4" s="1"/>
  <c r="T10" i="3"/>
  <c r="AH10" i="3" s="1"/>
  <c r="AG8" i="3" l="1"/>
  <c r="E8" i="4" s="1"/>
  <c r="U8" i="3"/>
  <c r="AF8" i="3"/>
  <c r="D8" i="4" s="1"/>
  <c r="T11" i="3"/>
  <c r="U6" i="3"/>
  <c r="D15" i="5"/>
  <c r="F10" i="4"/>
  <c r="AG10" i="3"/>
  <c r="E10" i="4" s="1"/>
  <c r="U10" i="3"/>
  <c r="AF10" i="3"/>
  <c r="D10" i="4" s="1"/>
  <c r="AG14" i="3"/>
  <c r="E14" i="4" s="1"/>
  <c r="AF14" i="3"/>
  <c r="D14" i="4" s="1"/>
  <c r="AH14" i="3"/>
  <c r="F14" i="4" s="1"/>
  <c r="T12" i="3"/>
  <c r="AI12" i="3"/>
  <c r="G12" i="4" s="1"/>
  <c r="G7" i="4"/>
  <c r="T7" i="3"/>
  <c r="AG9" i="3"/>
  <c r="E9" i="4" s="1"/>
  <c r="AF9" i="3"/>
  <c r="D9" i="4" s="1"/>
  <c r="U9" i="3"/>
  <c r="F9" i="4"/>
  <c r="AG11" i="3" l="1"/>
  <c r="E11" i="4" s="1"/>
  <c r="AH11" i="3"/>
  <c r="U11" i="3"/>
  <c r="F11" i="4"/>
  <c r="AF11" i="3"/>
  <c r="D11" i="4" s="1"/>
  <c r="AF6" i="3"/>
  <c r="D6" i="4" s="1"/>
  <c r="AH6" i="3"/>
  <c r="F6" i="4" s="1"/>
  <c r="AG6" i="3"/>
  <c r="E6" i="4" s="1"/>
  <c r="AG7" i="3"/>
  <c r="E7" i="4" s="1"/>
  <c r="AF7" i="3"/>
  <c r="D7" i="4" s="1"/>
  <c r="U7" i="3"/>
  <c r="AH7" i="3"/>
  <c r="F7" i="4" s="1"/>
  <c r="G19" i="4"/>
  <c r="G17" i="4"/>
  <c r="G18" i="4"/>
  <c r="G16" i="4"/>
  <c r="AG12" i="3"/>
  <c r="E12" i="4" s="1"/>
  <c r="AF12" i="3"/>
  <c r="D12" i="4" s="1"/>
  <c r="AH12" i="3"/>
  <c r="F12" i="4" s="1"/>
  <c r="U12" i="3"/>
  <c r="F16" i="4" l="1"/>
  <c r="F19" i="4"/>
  <c r="F17" i="4"/>
  <c r="F18" i="4"/>
  <c r="D18" i="4"/>
  <c r="D16" i="4"/>
  <c r="D19" i="4"/>
  <c r="D17" i="4"/>
  <c r="E16" i="4"/>
  <c r="E19" i="4"/>
  <c r="E17" i="4"/>
  <c r="E1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4" authorId="0" shapeId="0" xr:uid="{00000000-0006-0000-0200-000005000000}">
      <text>
        <r>
          <rPr>
            <sz val="11"/>
            <color rgb="FF000000"/>
            <rFont val="Calibri"/>
            <family val="2"/>
          </rPr>
          <t>A convertible only dilutes if the share price is ABOVE the conversion price (in the money). The formulas handle this: out-of-the-money converts stay in debt and create no shares.</t>
        </r>
      </text>
    </comment>
    <comment ref="P4" authorId="0" shapeId="0" xr:uid="{00000000-0006-0000-0200-000006000000}">
      <text>
        <r>
          <rPr>
            <sz val="11"/>
            <color rgb="FF000000"/>
            <rFont val="Calibri"/>
            <family val="2"/>
          </rPr>
          <t xml:space="preserve">Enter TOTAL debt INCLUDING the convertible principal (col K) — the formula strips it out automatically only if the convert is in the money.
</t>
        </r>
        <r>
          <rPr>
            <sz val="11"/>
            <color rgb="FF000000"/>
            <rFont val="Calibri"/>
            <family val="2"/>
          </rPr>
          <t xml:space="preserve">
</t>
        </r>
        <r>
          <rPr>
            <sz val="11"/>
            <color rgb="FF000000"/>
            <rFont val="Calibri"/>
            <family val="2"/>
          </rPr>
          <t>IFRS 16: for Tesco and the European comps, include lease liabilities in debt so EV matches their post-IFRS-16 EBITDA. Kroger reports under US GAAP where operating lease costs stay inside EBITDA — see Read Me note.</t>
        </r>
      </text>
    </comment>
    <comment ref="V4" authorId="0" shapeId="0" xr:uid="{00000000-0006-0000-0200-000002000000}">
      <text>
        <r>
          <rPr>
            <sz val="11"/>
            <color rgb="FF000000"/>
            <rFont val="Calibri"/>
            <family val="2"/>
          </rPr>
          <t>Use SCRUBBED LTM figures: strip one-off gains/charges (non-recurring adjustments) before entering, per your notes.</t>
        </r>
      </text>
    </comment>
    <comment ref="X4" authorId="0" shapeId="0" xr:uid="{00000000-0006-0000-0200-000003000000}">
      <text>
        <r>
          <rPr>
            <sz val="11"/>
            <color rgb="FF000000"/>
            <rFont val="Calibri"/>
            <family val="2"/>
          </rPr>
          <t>Scrubbed LTM EBITDA. UK/EU companies report under IFRS 16 (rent sits in D&amp;A + interest, so EBITDA is flattered vs pre-2019). Keep the treatment consistent across the comp set.</t>
        </r>
      </text>
    </comment>
    <comment ref="AK4" authorId="0" shapeId="0" xr:uid="{00000000-0006-0000-0200-000001000000}">
      <text>
        <r>
          <rPr>
            <sz val="11"/>
            <color theme="1"/>
            <rFont val="Calibri"/>
            <family val="2"/>
            <scheme val="minor"/>
          </rPr>
          <t>Sales from the PRIOR fiscal year (same scrubbing). Lets the sheet show growth — a key valuation driver from Step III of your notes.</t>
        </r>
      </text>
    </comment>
    <comment ref="D6" authorId="0" shapeId="0" xr:uid="{00000000-0006-0000-0200-000007000000}">
      <text>
        <r>
          <rPr>
            <sz val="11"/>
            <color rgb="FF000000"/>
            <rFont val="Calibri"/>
            <family val="2"/>
          </rPr>
          <t>Major units, e.g. Tesco 350p = 3.50. Keep price, shares and financials in consistent units.</t>
        </r>
      </text>
    </comment>
    <comment ref="J6" authorId="0" shapeId="0" xr:uid="{00000000-0006-0000-0200-000004000000}">
      <text>
        <r>
          <rPr>
            <sz val="11"/>
            <color rgb="FF000000"/>
            <rFont val="Calibri"/>
            <family val="2"/>
          </rPr>
          <t>Treasury Stock Method: in-the-money options create shares, less the shares the company buys back with the exercise cash.  = Options - (Options x Exercise / Price)</t>
        </r>
      </text>
    </comment>
    <comment ref="T6" authorId="0" shapeId="0" xr:uid="{00000000-0006-0000-0200-000008000000}">
      <text>
        <r>
          <rPr>
            <sz val="11"/>
            <color rgb="FF000000"/>
            <rFont val="Calibri"/>
            <family val="2"/>
          </rPr>
          <t>EV bridge: Equity value + Debt + Preferred + Minority - Cash.  We subtract the convertible principal (K) from debt because its shares are already counted in FD shares (if-converted).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6" authorId="0" shapeId="0" xr:uid="{00000000-0006-0000-0400-000001000000}">
      <text>
        <r>
          <rPr>
            <sz val="11"/>
            <color rgb="FF000000"/>
            <rFont val="Calibri"/>
            <family val="2"/>
          </rPr>
          <t>Suggestion: anchor Low/High on the tier-1 range from tab 4. The comp-set median EV/EBITDA is in '4. Benchmark'!E16.</t>
        </r>
      </text>
    </comment>
  </commentList>
</comments>
</file>

<file path=xl/sharedStrings.xml><?xml version="1.0" encoding="utf-8"?>
<sst xmlns="http://schemas.openxmlformats.org/spreadsheetml/2006/main" count="215" uniqueCount="134">
  <si>
    <t>Currency</t>
  </si>
  <si>
    <t>STEP I — SELECT THE UNIVERSE OF COMPARABLE COMPANIES</t>
  </si>
  <si>
    <t>Candidate</t>
  </si>
  <si>
    <t>Listed?</t>
  </si>
  <si>
    <t>Country</t>
  </si>
  <si>
    <t>End market</t>
  </si>
  <si>
    <t>Include?</t>
  </si>
  <si>
    <t>Rationale / notes</t>
  </si>
  <si>
    <t>Tesco (TARGET)</t>
  </si>
  <si>
    <t>Yes</t>
  </si>
  <si>
    <t>UK</t>
  </si>
  <si>
    <t>Food retail</t>
  </si>
  <si>
    <t>TARGET</t>
  </si>
  <si>
    <t>The company you are valuing.</t>
  </si>
  <si>
    <t>J Sainsbury</t>
  </si>
  <si>
    <t>Closest listed UK peer — same market, similar model, comparable size.</t>
  </si>
  <si>
    <t>Marks &amp; Spencer</t>
  </si>
  <si>
    <t>Food + clothing</t>
  </si>
  <si>
    <t>Scrutinise</t>
  </si>
  <si>
    <t>Large food business, but clothing/home muddies the comparison. Include with care.</t>
  </si>
  <si>
    <t>Ocado Group</t>
  </si>
  <si>
    <t>Grocery tech / logistics</t>
  </si>
  <si>
    <t>Exclude</t>
  </si>
  <si>
    <t>TRAP. Trades as a tech/logistics platform, not a grocer — thin or negative EBITDA, valued on totally different metrics.</t>
  </si>
  <si>
    <t>Carrefour</t>
  </si>
  <si>
    <t>France</t>
  </si>
  <si>
    <t>Large European grocer — good peer, reports in EUR (multiples still comparable).</t>
  </si>
  <si>
    <t>Ahold Delhaize</t>
  </si>
  <si>
    <t>Netherlands</t>
  </si>
  <si>
    <t>Big European/US grocer, EUR reporter — solid comparable.</t>
  </si>
  <si>
    <t>Jeronimo Martins</t>
  </si>
  <si>
    <t>Portugal</t>
  </si>
  <si>
    <t>Pure-play European food retailer, EUR.</t>
  </si>
  <si>
    <t>Colruyt</t>
  </si>
  <si>
    <t>Belgium</t>
  </si>
  <si>
    <t>Belgian grocer, EUR — reasonable peer.</t>
  </si>
  <si>
    <t>Kroger</t>
  </si>
  <si>
    <t>USA</t>
  </si>
  <si>
    <t>Peripheral</t>
  </si>
  <si>
    <t>US grocer. Different geography — use as secondary reference, not core.</t>
  </si>
  <si>
    <t>Wm Morrison</t>
  </si>
  <si>
    <t>No</t>
  </si>
  <si>
    <t>TRAP. Taken PRIVATE by CD&amp;R in 2021 — no longer listed, so no market data to use.</t>
  </si>
  <si>
    <t>Asda</t>
  </si>
  <si>
    <t>Private (Issa brothers / TDR). Not listed — no share price.</t>
  </si>
  <si>
    <t>Aldi / Lidl</t>
  </si>
  <si>
    <t>Germany</t>
  </si>
  <si>
    <t>Discount grocery</t>
  </si>
  <si>
    <t>Private. Direct competitors, but no public data.</t>
  </si>
  <si>
    <t>STEPS II &amp; III — INPUT PAGE:  locate financials &amp; spread key statistics, ratios and multiples</t>
  </si>
  <si>
    <t>SHARE &amp; CAPITAL INPUTS</t>
  </si>
  <si>
    <t>SHARE BRIDGE  →  EQUITY VALUE</t>
  </si>
  <si>
    <t>EV BRIDGE</t>
  </si>
  <si>
    <t>FINANCIALS (LTM)</t>
  </si>
  <si>
    <t>MARGINS</t>
  </si>
  <si>
    <t>TRADING MULTIPLES</t>
  </si>
  <si>
    <t>CREDIT &amp; GROWTH</t>
  </si>
  <si>
    <t>Company</t>
  </si>
  <si>
    <t>FX to GBP</t>
  </si>
  <si>
    <t>Share price</t>
  </si>
  <si>
    <t>52-wk high</t>
  </si>
  <si>
    <t>% of 52wk</t>
  </si>
  <si>
    <t>Basic shares</t>
  </si>
  <si>
    <t>Options</t>
  </si>
  <si>
    <t>Net option sh.</t>
  </si>
  <si>
    <t>Convert principal</t>
  </si>
  <si>
    <t>Conversion px</t>
  </si>
  <si>
    <t>Convert shares</t>
  </si>
  <si>
    <t>FD shares</t>
  </si>
  <si>
    <t>Equity value</t>
  </si>
  <si>
    <t>Total debt</t>
  </si>
  <si>
    <t>Cash</t>
  </si>
  <si>
    <t>Preferred</t>
  </si>
  <si>
    <t>Minority int.</t>
  </si>
  <si>
    <t>Enterprise value</t>
  </si>
  <si>
    <t>EV (GBP m)</t>
  </si>
  <si>
    <t>Sales</t>
  </si>
  <si>
    <t>Gross profit</t>
  </si>
  <si>
    <t>EBITDA</t>
  </si>
  <si>
    <t>EBIT</t>
  </si>
  <si>
    <t>Net income</t>
  </si>
  <si>
    <t>Diluted EPS</t>
  </si>
  <si>
    <t>Gross mgn</t>
  </si>
  <si>
    <t>EBITDA mgn</t>
  </si>
  <si>
    <t>EBIT mgn</t>
  </si>
  <si>
    <t>Net mgn</t>
  </si>
  <si>
    <t>EV/Sales</t>
  </si>
  <si>
    <t>EV/EBITDA</t>
  </si>
  <si>
    <t>EV/EBIT</t>
  </si>
  <si>
    <t>P/E</t>
  </si>
  <si>
    <t>Net debt/EBITDA</t>
  </si>
  <si>
    <t>Prior-yr sales</t>
  </si>
  <si>
    <t>Sales growth</t>
  </si>
  <si>
    <t>GBP per 1</t>
  </si>
  <si>
    <t>local</t>
  </si>
  <si>
    <t>m</t>
  </si>
  <si>
    <t>local m</t>
  </si>
  <si>
    <t>GBP m</t>
  </si>
  <si>
    <t>STEP IV — BENCHMARK THE COMPARABLE COMPANIES</t>
  </si>
  <si>
    <t>Mean</t>
  </si>
  <si>
    <t>Median</t>
  </si>
  <si>
    <t>High</t>
  </si>
  <si>
    <t>Low</t>
  </si>
  <si>
    <t>STEP V — DETERMINE VALUATION</t>
  </si>
  <si>
    <t>Mid</t>
  </si>
  <si>
    <t>Tesco EBITDA  (local m)</t>
  </si>
  <si>
    <t>Implied Enterprise Value  (m)</t>
  </si>
  <si>
    <t xml:space="preserve">  less: Net debt (Debt - in-the-money Convert - Cash)</t>
  </si>
  <si>
    <t xml:space="preserve">  less: Preferred</t>
  </si>
  <si>
    <t xml:space="preserve">  less: Minority interest</t>
  </si>
  <si>
    <t>Implied Equity Value  (m)</t>
  </si>
  <si>
    <t>FD shares  (m)</t>
  </si>
  <si>
    <t>Implied share price  (local)</t>
  </si>
  <si>
    <t>Implied share price  (pence, if UK)</t>
  </si>
  <si>
    <t>Current share price (from tab 3)</t>
  </si>
  <si>
    <t>Implied upside/(downside) at Mid</t>
  </si>
  <si>
    <t>final call</t>
  </si>
  <si>
    <t xml:space="preserve">B&amp;M European Value Retail </t>
  </si>
  <si>
    <t>General merchandise</t>
  </si>
  <si>
    <t>Scruitinise</t>
  </si>
  <si>
    <t xml:space="preserve">not in mian group due to the end market being different and a lot smaller </t>
  </si>
  <si>
    <t>include</t>
  </si>
  <si>
    <t>Core COMP</t>
  </si>
  <si>
    <t>Scruitinise due to selling not just food but clothing/home business</t>
  </si>
  <si>
    <t>Exclude as value skewed due to it being not just grocery company but a tech one</t>
  </si>
  <si>
    <t>Not listed</t>
  </si>
  <si>
    <t>£</t>
  </si>
  <si>
    <t>€</t>
  </si>
  <si>
    <t xml:space="preserve">completrly Different continent  to taregt </t>
  </si>
  <si>
    <t>$</t>
  </si>
  <si>
    <t>Exercise price (WAEP)</t>
  </si>
  <si>
    <t xml:space="preserve">EV/EBITDA multiple  </t>
  </si>
  <si>
    <t>On a pure peer-multiple basis, Tesco appears to trade at a substantial premium (£4.70 actual vs. £1.50–£3.83 implied). This likely reflects factors comps analysis doesn't fully capture such as Tesco's UK market leadership. Also comps method does have its limits as it tells you relative value not the intrinsic value so its entitely possible for an entire sector to be overvalued by the market.</t>
  </si>
  <si>
    <t>"EV/EBITDA
-	Tesco trades at 9.2x vs the peer median of 5.5x (peer range 4.7x-8.0x)
-	Tesco sits at the expensive end: its enterprise value is high relative to the EBITDA it generates compared with peers - the market pays a higher price per unit of earnings for Tesco
-	However, the premium is much smaller on P/E (19.8x vs 14.9x median, ~33%) than on EV/EBITDA (~67%). Because EV/EBITDA capitalises Tesco's £7.7bn of lease liabilities into EV while P/E ignores debt, a large part of the apparent EV/EBITDA premium reflects Tesco's lease-heavy store estate rather than an equity-level valuation premium
-	Growth does not explain the premium: Tesco grew sales +2.5% while Jeronimo Martins (+7.6%) and Ahold Delhaize (+3.4%) grew faster yet trade on lower multiples
-	P/E is distorted across the set by one-off items below the operating line (Carrefour's Italy disposal, Sainsbury's Financial Services exit), so primary weight is placed on EV/EBITDA and EV/EBIT read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</si>
</sst>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x"/>
  </numFmts>
  <fonts count="23" x14ac:knownFonts="1">
    <font>
      <sz val="11"/>
      <color theme="1"/>
      <name val="Calibri"/>
      <scheme val="minor"/>
    </font>
    <font>
      <i/>
      <sz val="10"/>
      <color rgb="FF000000"/>
      <name val="Times New Roman"/>
      <family val="1"/>
    </font>
    <font>
      <sz val="11"/>
      <color rgb="FF000000"/>
      <name val="Times New Roman"/>
      <family val="1"/>
    </font>
    <font>
      <b/>
      <sz val="11"/>
      <color rgb="FF0000FF"/>
      <name val="Times New Roman"/>
      <family val="1"/>
    </font>
    <font>
      <sz val="10"/>
      <color rgb="FF000000"/>
      <name val="Times New Roman"/>
      <family val="1"/>
    </font>
    <font>
      <b/>
      <sz val="11"/>
      <color rgb="FF000000"/>
      <name val="Times New Roman"/>
      <family val="1"/>
    </font>
    <font>
      <b/>
      <sz val="14"/>
      <color rgb="FF1F3864"/>
      <name val="Times New Roman"/>
      <family val="1"/>
    </font>
    <font>
      <b/>
      <sz val="10"/>
      <color rgb="FFFFFFFF"/>
      <name val="Times New Roman"/>
      <family val="1"/>
    </font>
    <font>
      <sz val="10"/>
      <color rgb="FF0000FF"/>
      <name val="Times New Roman"/>
      <family val="1"/>
    </font>
    <font>
      <i/>
      <sz val="10"/>
      <color rgb="FFC00000"/>
      <name val="Times New Roman"/>
      <family val="1"/>
    </font>
    <font>
      <i/>
      <sz val="9"/>
      <color rgb="FF000000"/>
      <name val="Times New Roman"/>
      <family val="1"/>
    </font>
    <font>
      <b/>
      <sz val="9"/>
      <color rgb="FF1F3864"/>
      <name val="Times New Roman"/>
      <family val="1"/>
    </font>
    <font>
      <sz val="11"/>
      <name val="Calibri"/>
      <family val="2"/>
    </font>
    <font>
      <b/>
      <sz val="9"/>
      <color rgb="FFFFFFFF"/>
      <name val="Times New Roman"/>
      <family val="1"/>
    </font>
    <font>
      <i/>
      <sz val="8"/>
      <color rgb="FF808080"/>
      <name val="Times New Roman"/>
      <family val="1"/>
    </font>
    <font>
      <b/>
      <sz val="10"/>
      <color rgb="FF000000"/>
      <name val="Times New Roman"/>
      <family val="1"/>
    </font>
    <font>
      <sz val="10"/>
      <color rgb="FF008000"/>
      <name val="Times New Roman"/>
      <family val="1"/>
    </font>
    <font>
      <sz val="11"/>
      <color rgb="FF008000"/>
      <name val="Times New Roman"/>
      <family val="1"/>
    </font>
    <font>
      <sz val="11"/>
      <color rgb="FF000000"/>
      <name val="Calibri"/>
      <family val="2"/>
    </font>
    <font>
      <sz val="11"/>
      <color theme="1"/>
      <name val="Calibri"/>
      <family val="2"/>
      <scheme val="minor"/>
    </font>
    <font>
      <b/>
      <u/>
      <sz val="10"/>
      <color rgb="FF000000"/>
      <name val="Times New Roman"/>
      <family val="1"/>
    </font>
    <font>
      <b/>
      <u/>
      <sz val="10"/>
      <color rgb="FF008000"/>
      <name val="Times New Roman"/>
      <family val="1"/>
    </font>
    <font>
      <i/>
      <sz val="9"/>
      <color theme="1"/>
      <name val="Times New Roman"/>
      <family val="1"/>
    </font>
  </fonts>
  <fills count="7">
    <fill>
      <patternFill patternType="none"/>
    </fill>
    <fill>
      <patternFill patternType="gray125"/>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
      <patternFill patternType="solid">
        <fgColor rgb="FFE2EFDA"/>
        <bgColor rgb="FFE2EFDA"/>
      </patternFill>
    </fill>
    <fill>
      <patternFill patternType="solid">
        <fgColor rgb="FFFCE4D6"/>
        <bgColor rgb="FFFCE4D6"/>
      </patternFill>
    </fill>
  </fills>
  <borders count="10">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right/>
      <top/>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top style="thin">
        <color theme="1" tint="0.14999847407452621"/>
      </top>
      <bottom/>
      <diagonal/>
    </border>
  </borders>
  <cellStyleXfs count="1">
    <xf numFmtId="0" fontId="0" fillId="0" borderId="0"/>
  </cellStyleXfs>
  <cellXfs count="59">
    <xf numFmtId="0" fontId="0" fillId="0" borderId="0" xfId="0"/>
    <xf numFmtId="0" fontId="6" fillId="0" borderId="0" xfId="0" applyFont="1"/>
    <xf numFmtId="0" fontId="1" fillId="0" borderId="0" xfId="0" applyFont="1" applyAlignment="1">
      <alignment vertical="center" wrapText="1"/>
    </xf>
    <xf numFmtId="0" fontId="7" fillId="2" borderId="2" xfId="0" applyFont="1" applyFill="1" applyBorder="1" applyAlignment="1">
      <alignment horizontal="center" vertical="center" wrapText="1"/>
    </xf>
    <xf numFmtId="0" fontId="4" fillId="0" borderId="2" xfId="0" applyFont="1" applyBorder="1" applyAlignment="1">
      <alignment horizontal="left" vertical="center"/>
    </xf>
    <xf numFmtId="0" fontId="4" fillId="0" borderId="2" xfId="0" applyFont="1" applyBorder="1" applyAlignment="1">
      <alignment horizontal="center" vertical="center"/>
    </xf>
    <xf numFmtId="0" fontId="8" fillId="0" borderId="2" xfId="0" applyFont="1" applyBorder="1" applyAlignment="1">
      <alignment horizontal="center" vertical="center"/>
    </xf>
    <xf numFmtId="0" fontId="4" fillId="0" borderId="2" xfId="0" applyFont="1" applyBorder="1" applyAlignment="1">
      <alignment horizontal="left" vertical="center" wrapText="1"/>
    </xf>
    <xf numFmtId="0" fontId="9" fillId="0" borderId="0" xfId="0" applyFont="1" applyAlignment="1">
      <alignment vertical="center" wrapText="1"/>
    </xf>
    <xf numFmtId="0" fontId="10" fillId="0" borderId="0" xfId="0" applyFont="1"/>
    <xf numFmtId="0" fontId="11" fillId="4" borderId="1" xfId="0" applyFont="1" applyFill="1" applyBorder="1" applyAlignment="1">
      <alignment horizontal="center" vertical="center"/>
    </xf>
    <xf numFmtId="0" fontId="11" fillId="6" borderId="1" xfId="0" applyFont="1" applyFill="1" applyBorder="1" applyAlignment="1">
      <alignment horizontal="center" vertical="center"/>
    </xf>
    <xf numFmtId="0" fontId="13" fillId="2" borderId="2" xfId="0" applyFont="1" applyFill="1" applyBorder="1" applyAlignment="1">
      <alignment horizontal="center" vertical="center" wrapText="1"/>
    </xf>
    <xf numFmtId="0" fontId="14" fillId="0" borderId="2" xfId="0" applyFont="1" applyBorder="1" applyAlignment="1">
      <alignment horizontal="center" vertical="center"/>
    </xf>
    <xf numFmtId="0" fontId="15" fillId="0" borderId="2" xfId="0" applyFont="1" applyBorder="1"/>
    <xf numFmtId="0" fontId="8" fillId="0" borderId="2" xfId="0" applyFont="1" applyBorder="1"/>
    <xf numFmtId="164" fontId="8" fillId="0" borderId="2" xfId="0" applyNumberFormat="1" applyFont="1" applyBorder="1"/>
    <xf numFmtId="4" fontId="8" fillId="0" borderId="2" xfId="0" applyNumberFormat="1" applyFont="1" applyBorder="1"/>
    <xf numFmtId="165" fontId="4" fillId="0" borderId="2" xfId="0" applyNumberFormat="1" applyFont="1" applyBorder="1"/>
    <xf numFmtId="3" fontId="8" fillId="0" borderId="2" xfId="0" applyNumberFormat="1" applyFont="1" applyBorder="1"/>
    <xf numFmtId="3" fontId="4" fillId="0" borderId="2" xfId="0" applyNumberFormat="1" applyFont="1" applyBorder="1"/>
    <xf numFmtId="4" fontId="4" fillId="0" borderId="2" xfId="0" applyNumberFormat="1" applyFont="1" applyBorder="1"/>
    <xf numFmtId="166" fontId="4" fillId="0" borderId="2" xfId="0" applyNumberFormat="1" applyFont="1" applyBorder="1"/>
    <xf numFmtId="0" fontId="15" fillId="3" borderId="2" xfId="0" applyFont="1" applyFill="1" applyBorder="1"/>
    <xf numFmtId="165" fontId="16" fillId="3" borderId="2" xfId="0" applyNumberFormat="1" applyFont="1" applyFill="1" applyBorder="1" applyAlignment="1">
      <alignment horizontal="center" vertical="center"/>
    </xf>
    <xf numFmtId="166" fontId="16" fillId="3" borderId="2" xfId="0" applyNumberFormat="1" applyFont="1" applyFill="1" applyBorder="1" applyAlignment="1">
      <alignment horizontal="center" vertical="center"/>
    </xf>
    <xf numFmtId="0" fontId="16" fillId="0" borderId="2" xfId="0" applyFont="1" applyBorder="1"/>
    <xf numFmtId="165" fontId="16" fillId="0" borderId="2" xfId="0" applyNumberFormat="1" applyFont="1" applyBorder="1" applyAlignment="1">
      <alignment horizontal="center" vertical="center"/>
    </xf>
    <xf numFmtId="166" fontId="16" fillId="0" borderId="2" xfId="0" applyNumberFormat="1" applyFont="1" applyBorder="1" applyAlignment="1">
      <alignment horizontal="center" vertical="center"/>
    </xf>
    <xf numFmtId="0" fontId="7" fillId="2" borderId="2" xfId="0" applyFont="1" applyFill="1" applyBorder="1"/>
    <xf numFmtId="165" fontId="15" fillId="4" borderId="2" xfId="0" applyNumberFormat="1" applyFont="1" applyFill="1" applyBorder="1" applyAlignment="1">
      <alignment horizontal="center" vertical="center"/>
    </xf>
    <xf numFmtId="166" fontId="15" fillId="4" borderId="2" xfId="0" applyNumberFormat="1" applyFont="1" applyFill="1" applyBorder="1" applyAlignment="1">
      <alignment horizontal="center" vertical="center"/>
    </xf>
    <xf numFmtId="0" fontId="10" fillId="0" borderId="0" xfId="0" applyFont="1" applyAlignment="1">
      <alignment vertical="center" wrapText="1"/>
    </xf>
    <xf numFmtId="0" fontId="7" fillId="2" borderId="2" xfId="0" applyFont="1" applyFill="1" applyBorder="1" applyAlignment="1">
      <alignment horizontal="center" vertical="center"/>
    </xf>
    <xf numFmtId="0" fontId="5" fillId="3" borderId="2" xfId="0" applyFont="1" applyFill="1" applyBorder="1" applyAlignment="1">
      <alignment vertical="center" wrapText="1"/>
    </xf>
    <xf numFmtId="166" fontId="3" fillId="3" borderId="2" xfId="0" applyNumberFormat="1" applyFont="1" applyFill="1" applyBorder="1" applyAlignment="1">
      <alignment horizontal="center" vertical="center"/>
    </xf>
    <xf numFmtId="166" fontId="5" fillId="3" borderId="2" xfId="0" applyNumberFormat="1" applyFont="1" applyFill="1" applyBorder="1" applyAlignment="1">
      <alignment horizontal="center" vertical="center"/>
    </xf>
    <xf numFmtId="0" fontId="2" fillId="0" borderId="2" xfId="0" applyFont="1" applyBorder="1" applyAlignment="1">
      <alignment vertical="center" wrapText="1"/>
    </xf>
    <xf numFmtId="3" fontId="17" fillId="0" borderId="2" xfId="0" applyNumberFormat="1" applyFont="1" applyBorder="1" applyAlignment="1">
      <alignment horizontal="center" vertical="center"/>
    </xf>
    <xf numFmtId="3" fontId="2" fillId="0" borderId="2" xfId="0" applyNumberFormat="1" applyFont="1" applyBorder="1" applyAlignment="1">
      <alignment horizontal="center" vertical="center"/>
    </xf>
    <xf numFmtId="0" fontId="5" fillId="4" borderId="2" xfId="0" applyFont="1" applyFill="1" applyBorder="1" applyAlignment="1">
      <alignment vertical="center" wrapText="1"/>
    </xf>
    <xf numFmtId="3" fontId="5" fillId="4" borderId="2" xfId="0" applyNumberFormat="1" applyFont="1" applyFill="1" applyBorder="1" applyAlignment="1">
      <alignment horizontal="center" vertical="center"/>
    </xf>
    <xf numFmtId="0" fontId="5" fillId="5" borderId="2" xfId="0" applyFont="1" applyFill="1" applyBorder="1" applyAlignment="1">
      <alignment vertical="center" wrapText="1"/>
    </xf>
    <xf numFmtId="4" fontId="5" fillId="5" borderId="2" xfId="0" applyNumberFormat="1" applyFont="1" applyFill="1" applyBorder="1" applyAlignment="1">
      <alignment horizontal="center" vertical="center"/>
    </xf>
    <xf numFmtId="0" fontId="5" fillId="0" borderId="2" xfId="0" applyFont="1" applyBorder="1"/>
    <xf numFmtId="4" fontId="17" fillId="0" borderId="2" xfId="0" applyNumberFormat="1" applyFont="1" applyBorder="1" applyAlignment="1">
      <alignment horizontal="center" vertical="center"/>
    </xf>
    <xf numFmtId="165" fontId="5" fillId="0" borderId="2" xfId="0" applyNumberFormat="1" applyFont="1" applyBorder="1" applyAlignment="1">
      <alignment horizontal="center" vertical="center"/>
    </xf>
    <xf numFmtId="3" fontId="8" fillId="0" borderId="6" xfId="0" applyNumberFormat="1" applyFont="1" applyBorder="1"/>
    <xf numFmtId="0" fontId="14" fillId="0" borderId="7" xfId="0" applyFont="1" applyBorder="1" applyAlignment="1">
      <alignment horizontal="center" vertical="center"/>
    </xf>
    <xf numFmtId="3" fontId="8" fillId="0" borderId="8" xfId="0" applyNumberFormat="1" applyFont="1" applyBorder="1"/>
    <xf numFmtId="0" fontId="0" fillId="0" borderId="9" xfId="0" applyBorder="1"/>
    <xf numFmtId="166" fontId="20" fillId="4" borderId="2" xfId="0" applyNumberFormat="1" applyFont="1" applyFill="1" applyBorder="1" applyAlignment="1">
      <alignment horizontal="center" vertical="center"/>
    </xf>
    <xf numFmtId="166" fontId="21" fillId="3" borderId="2" xfId="0" applyNumberFormat="1" applyFont="1" applyFill="1" applyBorder="1" applyAlignment="1">
      <alignment horizontal="center" vertical="center"/>
    </xf>
    <xf numFmtId="0" fontId="22" fillId="0" borderId="0" xfId="0" applyFont="1" applyAlignment="1">
      <alignment vertical="center" wrapText="1"/>
    </xf>
    <xf numFmtId="0" fontId="11" fillId="6" borderId="3" xfId="0" applyFont="1" applyFill="1" applyBorder="1" applyAlignment="1">
      <alignment horizontal="center" vertical="center"/>
    </xf>
    <xf numFmtId="0" fontId="12" fillId="0" borderId="4" xfId="0" applyFont="1" applyBorder="1"/>
    <xf numFmtId="0" fontId="12" fillId="0" borderId="5" xfId="0" applyFont="1" applyBorder="1"/>
    <xf numFmtId="0" fontId="11" fillId="4" borderId="3" xfId="0" applyFont="1" applyFill="1" applyBorder="1" applyAlignment="1">
      <alignment horizontal="center" vertical="center"/>
    </xf>
    <xf numFmtId="0" fontId="11" fillId="5"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zoomScale="111" workbookViewId="0">
      <selection activeCell="E31" sqref="E31"/>
    </sheetView>
  </sheetViews>
  <sheetFormatPr baseColWidth="10" defaultColWidth="14.5" defaultRowHeight="15" customHeight="1" x14ac:dyDescent="0.2"/>
  <cols>
    <col min="1" max="1" width="3" customWidth="1"/>
    <col min="2" max="2" width="24" customWidth="1"/>
    <col min="3" max="3" width="12" customWidth="1"/>
    <col min="4" max="4" width="20" customWidth="1"/>
    <col min="5" max="5" width="14" customWidth="1"/>
    <col min="6" max="6" width="12" customWidth="1"/>
    <col min="7" max="7" width="60" customWidth="1"/>
    <col min="8" max="8" width="82.6640625" customWidth="1"/>
  </cols>
  <sheetData>
    <row r="2" spans="2:8" ht="18" x14ac:dyDescent="0.2">
      <c r="B2" s="1" t="s">
        <v>1</v>
      </c>
    </row>
    <row r="3" spans="2:8" x14ac:dyDescent="0.2">
      <c r="B3" s="2"/>
    </row>
    <row r="5" spans="2:8" x14ac:dyDescent="0.2">
      <c r="B5" s="3" t="s">
        <v>2</v>
      </c>
      <c r="C5" s="3" t="s">
        <v>3</v>
      </c>
      <c r="D5" s="3" t="s">
        <v>4</v>
      </c>
      <c r="E5" s="3" t="s">
        <v>5</v>
      </c>
      <c r="F5" s="3" t="s">
        <v>6</v>
      </c>
      <c r="G5" s="3" t="s">
        <v>116</v>
      </c>
      <c r="H5" s="3" t="s">
        <v>7</v>
      </c>
    </row>
    <row r="6" spans="2:8" x14ac:dyDescent="0.2">
      <c r="B6" s="4" t="s">
        <v>8</v>
      </c>
      <c r="C6" s="5" t="s">
        <v>9</v>
      </c>
      <c r="D6" s="5" t="s">
        <v>10</v>
      </c>
      <c r="E6" s="5" t="s">
        <v>11</v>
      </c>
      <c r="F6" s="6" t="s">
        <v>12</v>
      </c>
      <c r="G6" s="7" t="s">
        <v>121</v>
      </c>
      <c r="H6" s="4" t="s">
        <v>13</v>
      </c>
    </row>
    <row r="7" spans="2:8" x14ac:dyDescent="0.2">
      <c r="B7" s="4" t="s">
        <v>14</v>
      </c>
      <c r="C7" s="5" t="s">
        <v>9</v>
      </c>
      <c r="D7" s="5" t="s">
        <v>10</v>
      </c>
      <c r="E7" s="5" t="s">
        <v>11</v>
      </c>
      <c r="F7" s="6" t="s">
        <v>9</v>
      </c>
      <c r="G7" s="7" t="s">
        <v>122</v>
      </c>
      <c r="H7" s="4" t="s">
        <v>15</v>
      </c>
    </row>
    <row r="8" spans="2:8" x14ac:dyDescent="0.2">
      <c r="B8" s="4" t="s">
        <v>16</v>
      </c>
      <c r="C8" s="5" t="s">
        <v>9</v>
      </c>
      <c r="D8" s="5" t="s">
        <v>10</v>
      </c>
      <c r="E8" s="5" t="s">
        <v>17</v>
      </c>
      <c r="F8" s="6" t="s">
        <v>18</v>
      </c>
      <c r="G8" s="7" t="s">
        <v>123</v>
      </c>
      <c r="H8" s="4" t="s">
        <v>19</v>
      </c>
    </row>
    <row r="9" spans="2:8" x14ac:dyDescent="0.2">
      <c r="B9" s="4" t="s">
        <v>20</v>
      </c>
      <c r="C9" s="5" t="s">
        <v>9</v>
      </c>
      <c r="D9" s="5" t="s">
        <v>10</v>
      </c>
      <c r="E9" s="5" t="s">
        <v>21</v>
      </c>
      <c r="F9" s="6" t="s">
        <v>22</v>
      </c>
      <c r="G9" s="7" t="s">
        <v>124</v>
      </c>
      <c r="H9" s="4" t="s">
        <v>23</v>
      </c>
    </row>
    <row r="10" spans="2:8" x14ac:dyDescent="0.2">
      <c r="B10" s="4" t="s">
        <v>24</v>
      </c>
      <c r="C10" s="5" t="s">
        <v>9</v>
      </c>
      <c r="D10" s="5" t="s">
        <v>25</v>
      </c>
      <c r="E10" s="5" t="s">
        <v>11</v>
      </c>
      <c r="F10" s="6" t="s">
        <v>9</v>
      </c>
      <c r="G10" s="7" t="s">
        <v>122</v>
      </c>
      <c r="H10" s="4" t="s">
        <v>26</v>
      </c>
    </row>
    <row r="11" spans="2:8" x14ac:dyDescent="0.2">
      <c r="B11" s="4" t="s">
        <v>27</v>
      </c>
      <c r="C11" s="5" t="s">
        <v>9</v>
      </c>
      <c r="D11" s="5" t="s">
        <v>28</v>
      </c>
      <c r="E11" s="5" t="s">
        <v>11</v>
      </c>
      <c r="F11" s="6" t="s">
        <v>9</v>
      </c>
      <c r="G11" s="7" t="s">
        <v>122</v>
      </c>
      <c r="H11" s="4" t="s">
        <v>29</v>
      </c>
    </row>
    <row r="12" spans="2:8" x14ac:dyDescent="0.2">
      <c r="B12" s="4" t="s">
        <v>30</v>
      </c>
      <c r="C12" s="5" t="s">
        <v>9</v>
      </c>
      <c r="D12" s="5" t="s">
        <v>31</v>
      </c>
      <c r="E12" s="5" t="s">
        <v>11</v>
      </c>
      <c r="F12" s="6" t="s">
        <v>9</v>
      </c>
      <c r="G12" s="7" t="s">
        <v>122</v>
      </c>
      <c r="H12" s="4" t="s">
        <v>32</v>
      </c>
    </row>
    <row r="13" spans="2:8" x14ac:dyDescent="0.2">
      <c r="B13" s="4" t="s">
        <v>33</v>
      </c>
      <c r="C13" s="5" t="s">
        <v>9</v>
      </c>
      <c r="D13" s="5" t="s">
        <v>34</v>
      </c>
      <c r="E13" s="5" t="s">
        <v>11</v>
      </c>
      <c r="F13" s="6" t="s">
        <v>9</v>
      </c>
      <c r="G13" s="7" t="s">
        <v>122</v>
      </c>
      <c r="H13" s="4" t="s">
        <v>35</v>
      </c>
    </row>
    <row r="14" spans="2:8" x14ac:dyDescent="0.2">
      <c r="B14" s="4" t="s">
        <v>36</v>
      </c>
      <c r="C14" s="5" t="s">
        <v>9</v>
      </c>
      <c r="D14" s="5" t="s">
        <v>37</v>
      </c>
      <c r="E14" s="5" t="s">
        <v>11</v>
      </c>
      <c r="F14" s="6" t="s">
        <v>38</v>
      </c>
      <c r="G14" s="7" t="s">
        <v>128</v>
      </c>
      <c r="H14" s="4" t="s">
        <v>39</v>
      </c>
    </row>
    <row r="15" spans="2:8" x14ac:dyDescent="0.2">
      <c r="B15" s="4" t="s">
        <v>40</v>
      </c>
      <c r="C15" s="5" t="s">
        <v>41</v>
      </c>
      <c r="D15" s="5" t="s">
        <v>10</v>
      </c>
      <c r="E15" s="5" t="s">
        <v>11</v>
      </c>
      <c r="F15" s="6" t="s">
        <v>22</v>
      </c>
      <c r="G15" s="7" t="s">
        <v>125</v>
      </c>
      <c r="H15" s="4" t="s">
        <v>42</v>
      </c>
    </row>
    <row r="16" spans="2:8" x14ac:dyDescent="0.2">
      <c r="B16" s="4" t="s">
        <v>43</v>
      </c>
      <c r="C16" s="5" t="s">
        <v>41</v>
      </c>
      <c r="D16" s="5" t="s">
        <v>10</v>
      </c>
      <c r="E16" s="5" t="s">
        <v>11</v>
      </c>
      <c r="F16" s="6" t="s">
        <v>22</v>
      </c>
      <c r="G16" s="7" t="s">
        <v>125</v>
      </c>
      <c r="H16" s="4" t="s">
        <v>44</v>
      </c>
    </row>
    <row r="17" spans="2:8" x14ac:dyDescent="0.2">
      <c r="B17" s="4" t="s">
        <v>45</v>
      </c>
      <c r="C17" s="5" t="s">
        <v>41</v>
      </c>
      <c r="D17" s="5" t="s">
        <v>46</v>
      </c>
      <c r="E17" s="5" t="s">
        <v>47</v>
      </c>
      <c r="F17" s="6" t="s">
        <v>22</v>
      </c>
      <c r="G17" s="7" t="s">
        <v>125</v>
      </c>
      <c r="H17" s="4" t="s">
        <v>48</v>
      </c>
    </row>
    <row r="18" spans="2:8" ht="15" customHeight="1" x14ac:dyDescent="0.2">
      <c r="B18" s="4" t="s">
        <v>117</v>
      </c>
      <c r="C18" s="5" t="s">
        <v>9</v>
      </c>
      <c r="D18" s="5" t="s">
        <v>10</v>
      </c>
      <c r="E18" s="5" t="s">
        <v>118</v>
      </c>
      <c r="F18" s="6" t="s">
        <v>119</v>
      </c>
      <c r="G18" s="7" t="s">
        <v>120</v>
      </c>
      <c r="H18" s="4" t="s">
        <v>48</v>
      </c>
    </row>
    <row r="19" spans="2:8" x14ac:dyDescent="0.2">
      <c r="B19" s="8"/>
    </row>
    <row r="21" spans="2:8" ht="15.75" customHeight="1" x14ac:dyDescent="0.2"/>
    <row r="22" spans="2:8" ht="15.75" customHeight="1" x14ac:dyDescent="0.2"/>
    <row r="23" spans="2:8" ht="15.75" customHeight="1" x14ac:dyDescent="0.2"/>
    <row r="24" spans="2:8" ht="15.75" customHeight="1" x14ac:dyDescent="0.2"/>
    <row r="25" spans="2:8" ht="15.75" customHeight="1" x14ac:dyDescent="0.2"/>
    <row r="26" spans="2:8" ht="15.75" customHeight="1" x14ac:dyDescent="0.2"/>
    <row r="27" spans="2:8" ht="15.75" customHeight="1" x14ac:dyDescent="0.2"/>
    <row r="28" spans="2:8" ht="15.75" customHeight="1" x14ac:dyDescent="0.2"/>
    <row r="29" spans="2:8" ht="15.75" customHeight="1" x14ac:dyDescent="0.2"/>
    <row r="30" spans="2:8" ht="15.75" customHeight="1" x14ac:dyDescent="0.2"/>
    <row r="31" spans="2:8" ht="15.75" customHeight="1" x14ac:dyDescent="0.2"/>
    <row r="32" spans="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00"/>
  <sheetViews>
    <sheetView showGridLines="0" zoomScale="150" workbookViewId="0">
      <pane xSplit="1" ySplit="5" topLeftCell="B6" activePane="bottomRight" state="frozen"/>
      <selection pane="topRight" activeCell="B1" sqref="B1"/>
      <selection pane="bottomLeft" activeCell="A6" sqref="A6"/>
      <selection pane="bottomRight" activeCell="AA1" sqref="AA1"/>
    </sheetView>
  </sheetViews>
  <sheetFormatPr baseColWidth="10" defaultColWidth="14.5" defaultRowHeight="15" customHeight="1" x14ac:dyDescent="0.2"/>
  <cols>
    <col min="1" max="1" width="18" customWidth="1"/>
    <col min="2" max="6" width="11" customWidth="1"/>
    <col min="7" max="7" width="16.1640625" customWidth="1"/>
    <col min="8" max="14" width="11" customWidth="1"/>
    <col min="15" max="15" width="13.83203125" customWidth="1"/>
    <col min="16" max="16" width="12.5" customWidth="1"/>
    <col min="17" max="17" width="14.33203125" customWidth="1"/>
    <col min="18" max="19" width="11" customWidth="1"/>
    <col min="20" max="20" width="15.1640625" customWidth="1"/>
    <col min="21" max="21" width="14.5" customWidth="1"/>
    <col min="22" max="22" width="16" customWidth="1"/>
    <col min="23" max="23" width="13.33203125" customWidth="1"/>
    <col min="24" max="25" width="11" customWidth="1"/>
    <col min="26" max="26" width="14.6640625" customWidth="1"/>
    <col min="27" max="35" width="11" customWidth="1"/>
    <col min="36" max="36" width="13" customWidth="1"/>
    <col min="37" max="37" width="14.33203125" customWidth="1"/>
    <col min="38" max="38" width="11" customWidth="1"/>
  </cols>
  <sheetData>
    <row r="1" spans="1:38" ht="18" x14ac:dyDescent="0.2">
      <c r="A1" s="1" t="s">
        <v>49</v>
      </c>
    </row>
    <row r="2" spans="1:38" x14ac:dyDescent="0.2">
      <c r="A2" s="9"/>
    </row>
    <row r="3" spans="1:38" x14ac:dyDescent="0.2">
      <c r="A3" s="10"/>
      <c r="B3" s="57" t="s">
        <v>50</v>
      </c>
      <c r="C3" s="55"/>
      <c r="D3" s="55"/>
      <c r="E3" s="55"/>
      <c r="F3" s="55"/>
      <c r="G3" s="55"/>
      <c r="H3" s="55"/>
      <c r="I3" s="56"/>
      <c r="J3" s="58" t="s">
        <v>51</v>
      </c>
      <c r="K3" s="55"/>
      <c r="L3" s="55"/>
      <c r="M3" s="55"/>
      <c r="N3" s="55"/>
      <c r="O3" s="56"/>
      <c r="P3" s="54" t="s">
        <v>52</v>
      </c>
      <c r="Q3" s="55"/>
      <c r="R3" s="55"/>
      <c r="S3" s="55"/>
      <c r="T3" s="55"/>
      <c r="U3" s="56"/>
      <c r="V3" s="57" t="s">
        <v>53</v>
      </c>
      <c r="W3" s="55"/>
      <c r="X3" s="55"/>
      <c r="Y3" s="55"/>
      <c r="Z3" s="56"/>
      <c r="AA3" s="58" t="s">
        <v>54</v>
      </c>
      <c r="AB3" s="55"/>
      <c r="AC3" s="55"/>
      <c r="AD3" s="55"/>
      <c r="AE3" s="56"/>
      <c r="AF3" s="54" t="s">
        <v>55</v>
      </c>
      <c r="AG3" s="55"/>
      <c r="AH3" s="55"/>
      <c r="AI3" s="56"/>
      <c r="AJ3" s="11" t="s">
        <v>56</v>
      </c>
      <c r="AK3" s="11"/>
      <c r="AL3" s="11"/>
    </row>
    <row r="4" spans="1:38" ht="26" x14ac:dyDescent="0.2">
      <c r="A4" s="12" t="s">
        <v>57</v>
      </c>
      <c r="B4" s="12" t="s">
        <v>0</v>
      </c>
      <c r="C4" s="12" t="s">
        <v>58</v>
      </c>
      <c r="D4" s="12" t="s">
        <v>59</v>
      </c>
      <c r="E4" s="12" t="s">
        <v>60</v>
      </c>
      <c r="F4" s="12" t="s">
        <v>61</v>
      </c>
      <c r="G4" s="12" t="s">
        <v>62</v>
      </c>
      <c r="H4" s="12" t="s">
        <v>63</v>
      </c>
      <c r="I4" s="12" t="s">
        <v>130</v>
      </c>
      <c r="J4" s="12" t="s">
        <v>64</v>
      </c>
      <c r="K4" s="12" t="s">
        <v>65</v>
      </c>
      <c r="L4" s="12" t="s">
        <v>66</v>
      </c>
      <c r="M4" s="12" t="s">
        <v>67</v>
      </c>
      <c r="N4" s="12" t="s">
        <v>68</v>
      </c>
      <c r="O4" s="12" t="s">
        <v>69</v>
      </c>
      <c r="P4" s="12" t="s">
        <v>70</v>
      </c>
      <c r="Q4" s="12" t="s">
        <v>71</v>
      </c>
      <c r="R4" s="12" t="s">
        <v>72</v>
      </c>
      <c r="S4" s="12" t="s">
        <v>73</v>
      </c>
      <c r="T4" s="12" t="s">
        <v>74</v>
      </c>
      <c r="U4" s="12" t="s">
        <v>75</v>
      </c>
      <c r="V4" s="12" t="s">
        <v>76</v>
      </c>
      <c r="W4" s="12" t="s">
        <v>77</v>
      </c>
      <c r="X4" s="12" t="s">
        <v>78</v>
      </c>
      <c r="Y4" s="12" t="s">
        <v>79</v>
      </c>
      <c r="Z4" s="12" t="s">
        <v>80</v>
      </c>
      <c r="AA4" s="12" t="s">
        <v>81</v>
      </c>
      <c r="AB4" s="12" t="s">
        <v>82</v>
      </c>
      <c r="AC4" s="12" t="s">
        <v>83</v>
      </c>
      <c r="AD4" s="12" t="s">
        <v>84</v>
      </c>
      <c r="AE4" s="12" t="s">
        <v>85</v>
      </c>
      <c r="AF4" s="12" t="s">
        <v>86</v>
      </c>
      <c r="AG4" s="12" t="s">
        <v>87</v>
      </c>
      <c r="AH4" s="12" t="s">
        <v>88</v>
      </c>
      <c r="AI4" s="12" t="s">
        <v>89</v>
      </c>
      <c r="AJ4" s="12" t="s">
        <v>90</v>
      </c>
      <c r="AK4" s="12" t="s">
        <v>91</v>
      </c>
      <c r="AL4" s="12" t="s">
        <v>92</v>
      </c>
    </row>
    <row r="5" spans="1:38" x14ac:dyDescent="0.2">
      <c r="A5" s="13"/>
      <c r="B5" s="13"/>
      <c r="C5" s="13" t="s">
        <v>93</v>
      </c>
      <c r="D5" s="13" t="s">
        <v>94</v>
      </c>
      <c r="E5" s="13" t="s">
        <v>94</v>
      </c>
      <c r="F5" s="13"/>
      <c r="G5" s="13" t="s">
        <v>95</v>
      </c>
      <c r="H5" s="13" t="s">
        <v>95</v>
      </c>
      <c r="I5" s="13" t="s">
        <v>94</v>
      </c>
      <c r="J5" s="13" t="s">
        <v>95</v>
      </c>
      <c r="K5" s="13" t="s">
        <v>95</v>
      </c>
      <c r="L5" s="13" t="s">
        <v>94</v>
      </c>
      <c r="M5" s="13" t="s">
        <v>95</v>
      </c>
      <c r="N5" s="13" t="s">
        <v>95</v>
      </c>
      <c r="O5" s="13" t="s">
        <v>96</v>
      </c>
      <c r="P5" s="13" t="s">
        <v>95</v>
      </c>
      <c r="Q5" s="48" t="s">
        <v>95</v>
      </c>
      <c r="R5" s="48" t="s">
        <v>95</v>
      </c>
      <c r="S5" s="13" t="s">
        <v>95</v>
      </c>
      <c r="T5" s="13" t="s">
        <v>96</v>
      </c>
      <c r="U5" s="13" t="s">
        <v>97</v>
      </c>
      <c r="V5" s="13" t="s">
        <v>95</v>
      </c>
      <c r="W5" s="13" t="s">
        <v>95</v>
      </c>
      <c r="X5" s="13" t="s">
        <v>95</v>
      </c>
      <c r="Y5" s="13" t="s">
        <v>95</v>
      </c>
      <c r="Z5" s="13" t="s">
        <v>95</v>
      </c>
      <c r="AA5" s="13" t="s">
        <v>94</v>
      </c>
      <c r="AB5" s="13"/>
      <c r="AC5" s="13"/>
      <c r="AD5" s="13"/>
      <c r="AE5" s="13"/>
      <c r="AF5" s="13"/>
      <c r="AG5" s="13"/>
      <c r="AH5" s="13"/>
      <c r="AI5" s="13"/>
      <c r="AK5" s="13" t="s">
        <v>95</v>
      </c>
    </row>
    <row r="6" spans="1:38" x14ac:dyDescent="0.2">
      <c r="A6" s="14" t="s">
        <v>8</v>
      </c>
      <c r="B6" s="15" t="s">
        <v>126</v>
      </c>
      <c r="C6" s="16">
        <v>1</v>
      </c>
      <c r="D6" s="17">
        <v>4.7</v>
      </c>
      <c r="E6" s="17">
        <v>5.0999999999999996</v>
      </c>
      <c r="F6" s="18">
        <f t="shared" ref="F6:F14" si="0">IFERROR(D6/E6,"")</f>
        <v>0.92156862745098045</v>
      </c>
      <c r="G6" s="17">
        <v>6736841762</v>
      </c>
      <c r="H6" s="19">
        <v>199109811</v>
      </c>
      <c r="I6" s="17">
        <v>2.25</v>
      </c>
      <c r="J6" s="20">
        <f t="shared" ref="J6:J12" si="1">IF(AND(D6&gt;0,I6&gt;0,D6&gt;I6),H6-(H6*I6/D6),0)</f>
        <v>103791284.45744681</v>
      </c>
      <c r="K6" s="19">
        <v>0</v>
      </c>
      <c r="L6" s="17">
        <v>0</v>
      </c>
      <c r="M6" s="20">
        <f t="shared" ref="M6:M12" si="2">IF(AND(L6&gt;0,D6&gt;L6),K6/L6,0)</f>
        <v>0</v>
      </c>
      <c r="N6" s="20">
        <f t="shared" ref="N6:N12" si="3">G6+J6+M6</f>
        <v>6840633046.4574471</v>
      </c>
      <c r="O6" s="20">
        <f t="shared" ref="O6:O12" si="4">D6*N6</f>
        <v>32150975318.350002</v>
      </c>
      <c r="P6" s="49">
        <v>14666000000</v>
      </c>
      <c r="Q6" s="19">
        <v>2255000000</v>
      </c>
      <c r="R6" s="19">
        <v>0</v>
      </c>
      <c r="S6" s="47">
        <v>4000000</v>
      </c>
      <c r="T6" s="20">
        <f>O6+(P6-IF(M6&gt;0,K6,0))+R6+S6-Q6</f>
        <v>44565975318.350006</v>
      </c>
      <c r="U6" s="20">
        <f t="shared" ref="U6:U12" si="5">T6*C6</f>
        <v>44565975318.350006</v>
      </c>
      <c r="V6" s="47">
        <v>69916000000</v>
      </c>
      <c r="W6" s="47">
        <v>5051000000</v>
      </c>
      <c r="X6" s="47">
        <v>4825000000</v>
      </c>
      <c r="Y6" s="47">
        <v>3128000000</v>
      </c>
      <c r="Z6" s="47">
        <v>1626000000</v>
      </c>
      <c r="AA6" s="21">
        <f>IFERROR(Z6/N6,"")</f>
        <v>0.23769729920567151</v>
      </c>
      <c r="AB6" s="18">
        <f t="shared" ref="AB6:AB14" si="6">IFERROR(W6/V6,"")</f>
        <v>7.2243835459694497E-2</v>
      </c>
      <c r="AC6" s="18">
        <f t="shared" ref="AC6:AC14" si="7">IFERROR(X6/V6,"")</f>
        <v>6.901138509068025E-2</v>
      </c>
      <c r="AD6" s="18">
        <f t="shared" ref="AD6:AD14" si="8">IFERROR(Y6/V6,"")</f>
        <v>4.4739401567595399E-2</v>
      </c>
      <c r="AE6" s="18">
        <f>IFERROR(Z6/V6,"")</f>
        <v>2.3256479203615767E-2</v>
      </c>
      <c r="AF6" s="22">
        <f t="shared" ref="AF6:AF14" si="9">IFERROR(T6/V6,"")</f>
        <v>0.63742169629770018</v>
      </c>
      <c r="AG6" s="22">
        <f t="shared" ref="AG6:AG14" si="10">IFERROR(T6/X6,"")</f>
        <v>9.2364715685699501</v>
      </c>
      <c r="AH6" s="22">
        <f t="shared" ref="AH6:AH14" si="11">IFERROR(T6/Y6,"")</f>
        <v>14.2474345646899</v>
      </c>
      <c r="AI6" s="22">
        <f>IFERROR(O6/Z6,"")</f>
        <v>19.773047551260763</v>
      </c>
      <c r="AJ6" s="22">
        <f t="shared" ref="AJ6:AJ14" si="12">IFERROR((P6-IF(M6&gt;0,K6,0)-Q6)/X6,"")</f>
        <v>2.5722279792746114</v>
      </c>
      <c r="AK6" s="19">
        <v>68187000000</v>
      </c>
      <c r="AL6" s="18">
        <f t="shared" ref="AL6:AL14" si="13">IFERROR(V6/AK6-1,"")</f>
        <v>2.5356739554460495E-2</v>
      </c>
    </row>
    <row r="7" spans="1:38" x14ac:dyDescent="0.2">
      <c r="A7" s="14" t="s">
        <v>14</v>
      </c>
      <c r="B7" s="15" t="s">
        <v>126</v>
      </c>
      <c r="C7" s="16">
        <v>1</v>
      </c>
      <c r="D7" s="17">
        <v>3.32</v>
      </c>
      <c r="E7" s="17">
        <v>3.71</v>
      </c>
      <c r="F7" s="18">
        <f t="shared" si="0"/>
        <v>0.89487870619946086</v>
      </c>
      <c r="G7" s="17">
        <v>2339424088</v>
      </c>
      <c r="H7" s="19">
        <v>55400000</v>
      </c>
      <c r="I7" s="17">
        <v>1.95</v>
      </c>
      <c r="J7" s="20">
        <f t="shared" si="1"/>
        <v>22860843.373493973</v>
      </c>
      <c r="K7" s="19">
        <v>0</v>
      </c>
      <c r="L7" s="17">
        <v>0</v>
      </c>
      <c r="M7" s="20">
        <f t="shared" si="2"/>
        <v>0</v>
      </c>
      <c r="N7" s="20">
        <f t="shared" si="3"/>
        <v>2362284931.3734941</v>
      </c>
      <c r="O7" s="20">
        <f t="shared" si="4"/>
        <v>7842785972.1599998</v>
      </c>
      <c r="P7" s="19">
        <v>6616000000</v>
      </c>
      <c r="Q7" s="19">
        <v>2777000000</v>
      </c>
      <c r="R7" s="19">
        <v>0</v>
      </c>
      <c r="S7" s="47">
        <v>0</v>
      </c>
      <c r="T7" s="20">
        <f>O7+(P7-IF(M7&gt;0,K7,0))+R6+S7-Q7</f>
        <v>11681785972.16</v>
      </c>
      <c r="U7" s="20">
        <f t="shared" si="5"/>
        <v>11681785972.16</v>
      </c>
      <c r="V7" s="47">
        <v>32812000000</v>
      </c>
      <c r="W7" s="47">
        <v>2221000000</v>
      </c>
      <c r="X7" s="47">
        <v>2192000000</v>
      </c>
      <c r="Y7" s="47">
        <v>1036000000</v>
      </c>
      <c r="Z7" s="47">
        <v>242000000</v>
      </c>
      <c r="AA7" s="21">
        <f>IFERROR(Z7/N7,"")</f>
        <v>0.10244318828181953</v>
      </c>
      <c r="AB7" s="18">
        <f t="shared" si="6"/>
        <v>6.7688650493721803E-2</v>
      </c>
      <c r="AC7" s="18">
        <f t="shared" si="7"/>
        <v>6.680482750213336E-2</v>
      </c>
      <c r="AD7" s="18">
        <f t="shared" si="8"/>
        <v>3.1573814458125078E-2</v>
      </c>
      <c r="AE7" s="18">
        <f>IFERROR(Z7/V7,"")</f>
        <v>7.3753504815311476E-3</v>
      </c>
      <c r="AF7" s="22">
        <f t="shared" si="9"/>
        <v>0.35602175948311593</v>
      </c>
      <c r="AG7" s="22">
        <f t="shared" si="10"/>
        <v>5.3292819216058396</v>
      </c>
      <c r="AH7" s="22">
        <f t="shared" si="11"/>
        <v>11.275855185482625</v>
      </c>
      <c r="AI7" s="22">
        <f>IFERROR(O7/Z7,"")</f>
        <v>32.408206496528926</v>
      </c>
      <c r="AJ7" s="22">
        <f t="shared" si="12"/>
        <v>1.7513686131386861</v>
      </c>
      <c r="AK7" s="19">
        <v>32238000000</v>
      </c>
      <c r="AL7" s="18">
        <f t="shared" si="13"/>
        <v>1.7805074756498618E-2</v>
      </c>
    </row>
    <row r="8" spans="1:38" x14ac:dyDescent="0.2">
      <c r="A8" s="14" t="s">
        <v>24</v>
      </c>
      <c r="B8" s="15" t="s">
        <v>127</v>
      </c>
      <c r="C8" s="16">
        <v>0.86</v>
      </c>
      <c r="D8" s="17">
        <v>15.88</v>
      </c>
      <c r="E8" s="17">
        <v>17.54</v>
      </c>
      <c r="F8" s="18">
        <f>IFERROR(D8/E8,"")</f>
        <v>0.90535917901938434</v>
      </c>
      <c r="G8" s="17">
        <v>706233789</v>
      </c>
      <c r="H8" s="19">
        <v>0</v>
      </c>
      <c r="I8" s="17">
        <v>0</v>
      </c>
      <c r="J8" s="20">
        <f t="shared" si="1"/>
        <v>0</v>
      </c>
      <c r="K8" s="19">
        <v>0</v>
      </c>
      <c r="L8" s="17">
        <v>0</v>
      </c>
      <c r="M8" s="20">
        <f t="shared" si="2"/>
        <v>0</v>
      </c>
      <c r="N8" s="20">
        <f t="shared" si="3"/>
        <v>706233789</v>
      </c>
      <c r="O8" s="20">
        <f t="shared" si="4"/>
        <v>11214992569.32</v>
      </c>
      <c r="P8" s="19">
        <v>15529000000</v>
      </c>
      <c r="Q8" s="19">
        <v>6179000000</v>
      </c>
      <c r="R8" s="19">
        <v>0</v>
      </c>
      <c r="S8" s="47">
        <v>693000000</v>
      </c>
      <c r="T8" s="20">
        <f t="shared" ref="T8:T12" si="14">O8+(P8-IF(M8&gt;0,K8,0))+R8+S8-Q8</f>
        <v>21257992569.32</v>
      </c>
      <c r="U8" s="20">
        <f t="shared" si="5"/>
        <v>18281873609.6152</v>
      </c>
      <c r="V8" s="47">
        <v>84025000000</v>
      </c>
      <c r="W8" s="47">
        <v>16024000000</v>
      </c>
      <c r="X8" s="47">
        <v>4506000000</v>
      </c>
      <c r="Y8" s="47">
        <v>2158000000</v>
      </c>
      <c r="Z8" s="47">
        <v>319000000</v>
      </c>
      <c r="AA8" s="21">
        <f t="shared" ref="AA8:AA14" si="15">IFERROR(Z8/N8,"")</f>
        <v>0.45169178389452563</v>
      </c>
      <c r="AB8" s="18">
        <f t="shared" si="6"/>
        <v>0.19070514727759597</v>
      </c>
      <c r="AC8" s="18">
        <f t="shared" si="7"/>
        <v>5.3626896756917584E-2</v>
      </c>
      <c r="AD8" s="18">
        <f t="shared" si="8"/>
        <v>2.5682832490330258E-2</v>
      </c>
      <c r="AE8" s="18">
        <f t="shared" ref="AE8:AE14" si="16">IFERROR(Z8/V8,"")</f>
        <v>3.796489140136864E-3</v>
      </c>
      <c r="AF8" s="22">
        <f t="shared" si="9"/>
        <v>0.25299604366938411</v>
      </c>
      <c r="AG8" s="22">
        <f t="shared" si="10"/>
        <v>4.7177080713093655</v>
      </c>
      <c r="AH8" s="22">
        <f t="shared" si="11"/>
        <v>9.8507843231325296</v>
      </c>
      <c r="AI8" s="22">
        <f t="shared" ref="AI8:AI14" si="17">IFERROR(O8/Z8,"")</f>
        <v>35.156716518244515</v>
      </c>
      <c r="AJ8" s="22">
        <f t="shared" si="12"/>
        <v>2.0750110963160231</v>
      </c>
      <c r="AK8" s="19">
        <v>83454000000</v>
      </c>
      <c r="AL8" s="18">
        <f t="shared" si="13"/>
        <v>6.8420926498429235E-3</v>
      </c>
    </row>
    <row r="9" spans="1:38" x14ac:dyDescent="0.2">
      <c r="A9" s="14" t="s">
        <v>27</v>
      </c>
      <c r="B9" s="15" t="s">
        <v>127</v>
      </c>
      <c r="C9" s="16">
        <v>0.86</v>
      </c>
      <c r="D9" s="17">
        <v>35.42</v>
      </c>
      <c r="E9" s="17">
        <v>42.54</v>
      </c>
      <c r="F9" s="18">
        <f t="shared" si="0"/>
        <v>0.83262811471556186</v>
      </c>
      <c r="G9" s="17">
        <v>886689000</v>
      </c>
      <c r="H9" s="19">
        <v>0</v>
      </c>
      <c r="I9" s="17">
        <v>0</v>
      </c>
      <c r="J9" s="20">
        <f t="shared" si="1"/>
        <v>0</v>
      </c>
      <c r="K9" s="19">
        <v>0</v>
      </c>
      <c r="L9" s="17">
        <v>0</v>
      </c>
      <c r="M9" s="20">
        <f t="shared" si="2"/>
        <v>0</v>
      </c>
      <c r="N9" s="20">
        <f t="shared" si="3"/>
        <v>886689000</v>
      </c>
      <c r="O9" s="20">
        <f t="shared" si="4"/>
        <v>31406524380</v>
      </c>
      <c r="P9" s="19">
        <v>18404000000</v>
      </c>
      <c r="Q9" s="19">
        <v>3705000000</v>
      </c>
      <c r="R9" s="19">
        <v>0</v>
      </c>
      <c r="S9" s="47">
        <v>0</v>
      </c>
      <c r="T9" s="20">
        <f t="shared" si="14"/>
        <v>46105524380</v>
      </c>
      <c r="U9" s="20">
        <f t="shared" si="5"/>
        <v>39650750966.800003</v>
      </c>
      <c r="V9" s="47">
        <v>92352000000</v>
      </c>
      <c r="W9" s="47">
        <v>24514000000</v>
      </c>
      <c r="X9" s="47">
        <v>7319000000</v>
      </c>
      <c r="Y9" s="47">
        <v>3734000000</v>
      </c>
      <c r="Z9" s="47">
        <v>2264000000</v>
      </c>
      <c r="AA9" s="21">
        <f t="shared" si="15"/>
        <v>2.5533191457207658</v>
      </c>
      <c r="AB9" s="18">
        <f t="shared" si="6"/>
        <v>0.26544092169092171</v>
      </c>
      <c r="AC9" s="18">
        <f t="shared" si="7"/>
        <v>7.9251126126126129E-2</v>
      </c>
      <c r="AD9" s="18">
        <f>IFERROR(Y9/V9,"")</f>
        <v>4.0432259182259185E-2</v>
      </c>
      <c r="AE9" s="18">
        <f t="shared" si="16"/>
        <v>2.4514899514899515E-2</v>
      </c>
      <c r="AF9" s="22">
        <f t="shared" si="9"/>
        <v>0.49923688041406794</v>
      </c>
      <c r="AG9" s="22">
        <f t="shared" si="10"/>
        <v>6.2994294821696952</v>
      </c>
      <c r="AH9" s="22">
        <f>IFERROR(T9/Y9,"")</f>
        <v>12.347489121585431</v>
      </c>
      <c r="AI9" s="22">
        <f t="shared" si="17"/>
        <v>13.872139743816254</v>
      </c>
      <c r="AJ9" s="22">
        <f t="shared" si="12"/>
        <v>2.0083344719223937</v>
      </c>
      <c r="AK9" s="19">
        <v>89356000000</v>
      </c>
      <c r="AL9" s="18">
        <f t="shared" si="13"/>
        <v>3.3528806123819255E-2</v>
      </c>
    </row>
    <row r="10" spans="1:38" x14ac:dyDescent="0.2">
      <c r="A10" s="14" t="s">
        <v>30</v>
      </c>
      <c r="B10" s="15" t="s">
        <v>127</v>
      </c>
      <c r="C10" s="16">
        <v>0.86</v>
      </c>
      <c r="D10" s="17">
        <v>16.309999999999999</v>
      </c>
      <c r="E10" s="17">
        <v>23.24</v>
      </c>
      <c r="F10" s="18">
        <f t="shared" si="0"/>
        <v>0.70180722891566261</v>
      </c>
      <c r="G10" s="17">
        <v>628434220</v>
      </c>
      <c r="H10" s="19">
        <v>0</v>
      </c>
      <c r="I10" s="17">
        <v>0</v>
      </c>
      <c r="J10" s="20">
        <f t="shared" si="1"/>
        <v>0</v>
      </c>
      <c r="K10" s="19">
        <v>0</v>
      </c>
      <c r="L10" s="17">
        <v>0</v>
      </c>
      <c r="M10" s="20">
        <f t="shared" si="2"/>
        <v>0</v>
      </c>
      <c r="N10" s="20">
        <f t="shared" si="3"/>
        <v>628434220</v>
      </c>
      <c r="O10" s="20">
        <f t="shared" si="4"/>
        <v>10249762128.199999</v>
      </c>
      <c r="P10" s="49">
        <v>5560000000</v>
      </c>
      <c r="Q10" s="19">
        <v>2268000000</v>
      </c>
      <c r="R10" s="19">
        <v>0</v>
      </c>
      <c r="S10" s="47">
        <v>238000000</v>
      </c>
      <c r="T10" s="20">
        <f t="shared" si="14"/>
        <v>13779762128.199999</v>
      </c>
      <c r="U10" s="20">
        <f t="shared" si="5"/>
        <v>11850595430.251999</v>
      </c>
      <c r="V10" s="47">
        <v>35991000000</v>
      </c>
      <c r="W10" s="47">
        <v>7434000000</v>
      </c>
      <c r="X10" s="47">
        <v>2480000000</v>
      </c>
      <c r="Y10" s="47">
        <v>1338000000</v>
      </c>
      <c r="Z10" s="47">
        <v>646000000</v>
      </c>
      <c r="AA10" s="21">
        <f t="shared" si="15"/>
        <v>1.0279516605572496</v>
      </c>
      <c r="AB10" s="18">
        <f t="shared" si="6"/>
        <v>0.20655163790947736</v>
      </c>
      <c r="AC10" s="18">
        <f t="shared" si="7"/>
        <v>6.890611541774333E-2</v>
      </c>
      <c r="AD10" s="18">
        <f>IFERROR(Y10/V10,"")</f>
        <v>3.7175960656830875E-2</v>
      </c>
      <c r="AE10" s="18">
        <f t="shared" si="16"/>
        <v>1.7948931677363784E-2</v>
      </c>
      <c r="AF10" s="22">
        <f t="shared" si="9"/>
        <v>0.38286688694951515</v>
      </c>
      <c r="AG10" s="22">
        <f t="shared" si="10"/>
        <v>5.5563556968548387</v>
      </c>
      <c r="AH10" s="22">
        <f>IFERROR(T10/Y10,"")</f>
        <v>10.298775880568011</v>
      </c>
      <c r="AI10" s="22">
        <f t="shared" si="17"/>
        <v>15.866504842414859</v>
      </c>
      <c r="AJ10" s="22">
        <f t="shared" si="12"/>
        <v>1.3274193548387097</v>
      </c>
      <c r="AK10" s="19">
        <v>33464000000</v>
      </c>
      <c r="AL10" s="18">
        <f t="shared" si="13"/>
        <v>7.5513985178101928E-2</v>
      </c>
    </row>
    <row r="11" spans="1:38" x14ac:dyDescent="0.2">
      <c r="A11" s="14" t="s">
        <v>33</v>
      </c>
      <c r="B11" s="15" t="s">
        <v>127</v>
      </c>
      <c r="C11" s="16">
        <v>0.86</v>
      </c>
      <c r="D11" s="17">
        <v>36.24</v>
      </c>
      <c r="E11" s="17">
        <v>38.44</v>
      </c>
      <c r="F11" s="18">
        <f t="shared" si="0"/>
        <v>0.94276795005202929</v>
      </c>
      <c r="G11" s="17">
        <v>120910372</v>
      </c>
      <c r="H11" s="19">
        <v>0</v>
      </c>
      <c r="I11" s="17">
        <v>0</v>
      </c>
      <c r="J11" s="20">
        <f t="shared" si="1"/>
        <v>0</v>
      </c>
      <c r="K11" s="19">
        <v>0</v>
      </c>
      <c r="L11" s="17">
        <v>0</v>
      </c>
      <c r="M11" s="20">
        <f t="shared" si="2"/>
        <v>0</v>
      </c>
      <c r="N11" s="20">
        <f t="shared" si="3"/>
        <v>120910372</v>
      </c>
      <c r="O11" s="20">
        <f t="shared" si="4"/>
        <v>4381791881.2800007</v>
      </c>
      <c r="P11" s="49">
        <v>995000000</v>
      </c>
      <c r="Q11" s="19">
        <v>627000000</v>
      </c>
      <c r="R11" s="19">
        <v>0</v>
      </c>
      <c r="S11" s="47">
        <v>400000</v>
      </c>
      <c r="T11" s="20">
        <f t="shared" si="14"/>
        <v>4750191881.2800007</v>
      </c>
      <c r="U11" s="20">
        <f t="shared" si="5"/>
        <v>4085165017.9008007</v>
      </c>
      <c r="V11" s="47">
        <v>10963000000</v>
      </c>
      <c r="W11" s="47">
        <v>3288000000</v>
      </c>
      <c r="X11" s="47">
        <v>859000000</v>
      </c>
      <c r="Y11" s="47">
        <v>446000000</v>
      </c>
      <c r="Z11" s="47">
        <v>337000000</v>
      </c>
      <c r="AA11" s="21">
        <f t="shared" si="15"/>
        <v>2.7871885134883216</v>
      </c>
      <c r="AB11" s="18">
        <f t="shared" si="6"/>
        <v>0.29991790568275106</v>
      </c>
      <c r="AC11" s="18">
        <f t="shared" si="7"/>
        <v>7.8354465018699263E-2</v>
      </c>
      <c r="AD11" s="18">
        <f>IFERROR(Y11/V11,"")</f>
        <v>4.0682294992246647E-2</v>
      </c>
      <c r="AE11" s="18">
        <f t="shared" si="16"/>
        <v>3.0739761014320896E-2</v>
      </c>
      <c r="AF11" s="22">
        <f t="shared" si="9"/>
        <v>0.43329306588342614</v>
      </c>
      <c r="AG11" s="22">
        <f t="shared" si="10"/>
        <v>5.5299090585331792</v>
      </c>
      <c r="AH11" s="22">
        <f>IFERROR(T11/Y11,"")</f>
        <v>10.65065444233184</v>
      </c>
      <c r="AI11" s="22">
        <f t="shared" si="17"/>
        <v>13.002349796083088</v>
      </c>
      <c r="AJ11" s="22">
        <f t="shared" si="12"/>
        <v>0.42840512223515714</v>
      </c>
      <c r="AK11" s="19">
        <v>10845000000</v>
      </c>
      <c r="AL11" s="18">
        <f t="shared" si="13"/>
        <v>1.0880590133702128E-2</v>
      </c>
    </row>
    <row r="12" spans="1:38" x14ac:dyDescent="0.2">
      <c r="A12" s="14" t="s">
        <v>36</v>
      </c>
      <c r="B12" s="15" t="s">
        <v>129</v>
      </c>
      <c r="C12" s="16">
        <v>0.75</v>
      </c>
      <c r="D12" s="17">
        <v>57.48</v>
      </c>
      <c r="E12" s="17">
        <v>76.58</v>
      </c>
      <c r="F12" s="18">
        <f t="shared" si="0"/>
        <v>0.75058762078871766</v>
      </c>
      <c r="G12" s="17">
        <v>612633958</v>
      </c>
      <c r="H12" s="19">
        <v>6102811</v>
      </c>
      <c r="I12" s="17">
        <v>48.97</v>
      </c>
      <c r="J12" s="20">
        <f t="shared" si="1"/>
        <v>903530.29940848891</v>
      </c>
      <c r="K12" s="19">
        <v>0</v>
      </c>
      <c r="L12" s="17">
        <v>0</v>
      </c>
      <c r="M12" s="20">
        <f t="shared" si="2"/>
        <v>0</v>
      </c>
      <c r="N12" s="20">
        <f t="shared" si="3"/>
        <v>613537488.29940844</v>
      </c>
      <c r="O12" s="20">
        <f t="shared" si="4"/>
        <v>35266134827.449997</v>
      </c>
      <c r="P12" s="19">
        <v>25105000000</v>
      </c>
      <c r="Q12" s="19">
        <v>3959000000</v>
      </c>
      <c r="R12" s="19">
        <v>0</v>
      </c>
      <c r="S12" s="19">
        <v>4000000</v>
      </c>
      <c r="T12" s="20">
        <f t="shared" si="14"/>
        <v>56416134827.449997</v>
      </c>
      <c r="U12" s="20">
        <f t="shared" si="5"/>
        <v>42312101120.587494</v>
      </c>
      <c r="V12" s="47">
        <v>147123000000</v>
      </c>
      <c r="W12" s="47">
        <v>32748000000</v>
      </c>
      <c r="X12" s="47">
        <v>7095000000</v>
      </c>
      <c r="Y12" s="47">
        <v>3849000000</v>
      </c>
      <c r="Z12" s="47">
        <v>2665000000</v>
      </c>
      <c r="AA12" s="21">
        <f t="shared" si="15"/>
        <v>4.3436628581356889</v>
      </c>
      <c r="AB12" s="18">
        <f t="shared" si="6"/>
        <v>0.2225892620460431</v>
      </c>
      <c r="AC12" s="18">
        <f t="shared" si="7"/>
        <v>4.8224954629799553E-2</v>
      </c>
      <c r="AD12" s="18">
        <f t="shared" si="8"/>
        <v>2.6161782997899716E-2</v>
      </c>
      <c r="AE12" s="18">
        <f t="shared" si="16"/>
        <v>1.81140950089381E-2</v>
      </c>
      <c r="AF12" s="22">
        <f t="shared" si="9"/>
        <v>0.38346237384671328</v>
      </c>
      <c r="AG12" s="22">
        <f t="shared" si="10"/>
        <v>7.9515341546793517</v>
      </c>
      <c r="AH12" s="22">
        <f t="shared" si="11"/>
        <v>14.6573486171603</v>
      </c>
      <c r="AI12" s="22">
        <f t="shared" si="17"/>
        <v>13.233071229812381</v>
      </c>
      <c r="AJ12" s="22">
        <f t="shared" si="12"/>
        <v>2.9804087385482734</v>
      </c>
      <c r="AK12" s="19">
        <v>150039000000</v>
      </c>
      <c r="AL12" s="18">
        <f t="shared" si="13"/>
        <v>-1.9434946913802431E-2</v>
      </c>
    </row>
    <row r="13" spans="1:38" x14ac:dyDescent="0.2">
      <c r="A13" s="14"/>
      <c r="B13" s="15"/>
      <c r="C13" s="16"/>
      <c r="D13" s="17"/>
      <c r="E13" s="17"/>
      <c r="F13" s="18"/>
      <c r="G13" s="19"/>
      <c r="H13" s="19"/>
      <c r="I13" s="17"/>
      <c r="J13" s="20"/>
      <c r="K13" s="19"/>
      <c r="L13" s="17"/>
      <c r="M13" s="20"/>
      <c r="N13" s="20"/>
      <c r="O13" s="20"/>
      <c r="P13" s="19"/>
      <c r="Q13" s="19"/>
      <c r="R13" s="19"/>
      <c r="S13" s="19"/>
      <c r="T13" s="20"/>
      <c r="U13" s="20"/>
      <c r="V13" s="19"/>
      <c r="W13" s="19"/>
      <c r="X13" s="19"/>
      <c r="Y13" s="19"/>
      <c r="Z13" s="19"/>
      <c r="AA13" s="21"/>
      <c r="AB13" s="18"/>
      <c r="AC13" s="18"/>
      <c r="AD13" s="18"/>
      <c r="AE13" s="18"/>
      <c r="AF13" s="22"/>
      <c r="AG13" s="22"/>
      <c r="AH13" s="22"/>
      <c r="AI13" s="22"/>
      <c r="AJ13" s="22"/>
      <c r="AK13" s="19"/>
      <c r="AL13" s="18"/>
    </row>
    <row r="14" spans="1:38" x14ac:dyDescent="0.2">
      <c r="A14" s="14"/>
      <c r="B14" s="15"/>
      <c r="C14" s="16"/>
      <c r="D14" s="17"/>
      <c r="E14" s="17"/>
      <c r="F14" s="18" t="str">
        <f t="shared" si="0"/>
        <v/>
      </c>
      <c r="G14" s="19"/>
      <c r="H14" s="19"/>
      <c r="I14" s="17"/>
      <c r="J14" s="20"/>
      <c r="K14" s="19"/>
      <c r="L14" s="17"/>
      <c r="M14" s="20"/>
      <c r="N14" s="20"/>
      <c r="O14" s="20"/>
      <c r="P14" s="19"/>
      <c r="Q14" s="19"/>
      <c r="R14" s="19"/>
      <c r="S14" s="19"/>
      <c r="T14" s="20"/>
      <c r="U14" s="20"/>
      <c r="V14" s="19"/>
      <c r="W14" s="19"/>
      <c r="X14" s="19"/>
      <c r="Y14" s="19"/>
      <c r="Z14" s="19"/>
      <c r="AA14" s="21" t="str">
        <f t="shared" si="15"/>
        <v/>
      </c>
      <c r="AB14" s="18" t="str">
        <f t="shared" si="6"/>
        <v/>
      </c>
      <c r="AC14" s="18" t="str">
        <f t="shared" si="7"/>
        <v/>
      </c>
      <c r="AD14" s="18" t="str">
        <f t="shared" si="8"/>
        <v/>
      </c>
      <c r="AE14" s="18" t="str">
        <f t="shared" si="16"/>
        <v/>
      </c>
      <c r="AF14" s="22" t="str">
        <f t="shared" si="9"/>
        <v/>
      </c>
      <c r="AG14" s="22" t="str">
        <f t="shared" si="10"/>
        <v/>
      </c>
      <c r="AH14" s="22" t="str">
        <f t="shared" si="11"/>
        <v/>
      </c>
      <c r="AI14" s="22" t="str">
        <f t="shared" si="17"/>
        <v/>
      </c>
      <c r="AJ14" s="22" t="str">
        <f t="shared" si="12"/>
        <v/>
      </c>
      <c r="AK14" s="19"/>
      <c r="AL14" s="18" t="str">
        <f t="shared" si="13"/>
        <v/>
      </c>
    </row>
    <row r="16" spans="1:38" ht="15" customHeight="1" x14ac:dyDescent="0.2">
      <c r="C16" s="20"/>
    </row>
    <row r="18" spans="17:17" ht="15" customHeight="1" x14ac:dyDescent="0.2">
      <c r="Q18" s="50"/>
    </row>
    <row r="21" spans="17:17" ht="15.75" customHeight="1" x14ac:dyDescent="0.2"/>
    <row r="22" spans="17:17" ht="15.75" customHeight="1" x14ac:dyDescent="0.2"/>
    <row r="23" spans="17:17" ht="15.75" customHeight="1" x14ac:dyDescent="0.2"/>
    <row r="24" spans="17:17" ht="15.75" customHeight="1" x14ac:dyDescent="0.2"/>
    <row r="25" spans="17:17" ht="15.75" customHeight="1" x14ac:dyDescent="0.2"/>
    <row r="26" spans="17:17" ht="15.75" customHeight="1" x14ac:dyDescent="0.2"/>
    <row r="27" spans="17:17" ht="15.75" customHeight="1" x14ac:dyDescent="0.2"/>
    <row r="28" spans="17:17" ht="15.75" customHeight="1" x14ac:dyDescent="0.2"/>
    <row r="29" spans="17:17" ht="15.75" customHeight="1" x14ac:dyDescent="0.2"/>
    <row r="30" spans="17:17" ht="15.75" customHeight="1" x14ac:dyDescent="0.2"/>
    <row r="31" spans="17:17" ht="15.75" customHeight="1" x14ac:dyDescent="0.2"/>
    <row r="32" spans="17: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AF3:AI3"/>
    <mergeCell ref="B3:I3"/>
    <mergeCell ref="J3:O3"/>
    <mergeCell ref="P3:U3"/>
    <mergeCell ref="V3:Z3"/>
    <mergeCell ref="AA3:AE3"/>
  </mergeCells>
  <pageMargins left="0.75" right="0.75" top="1" bottom="1"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1000"/>
  <sheetViews>
    <sheetView showGridLines="0" tabSelected="1" topLeftCell="A8" zoomScale="133" workbookViewId="0">
      <selection activeCell="B26" sqref="B26"/>
    </sheetView>
  </sheetViews>
  <sheetFormatPr baseColWidth="10" defaultColWidth="14.5" defaultRowHeight="15" customHeight="1" x14ac:dyDescent="0.2"/>
  <cols>
    <col min="1" max="1" width="3" customWidth="1"/>
    <col min="2" max="2" width="45.1640625" customWidth="1"/>
    <col min="3" max="7" width="13" customWidth="1"/>
    <col min="8" max="8" width="15" customWidth="1"/>
  </cols>
  <sheetData>
    <row r="2" spans="2:8" ht="18" x14ac:dyDescent="0.2">
      <c r="B2" s="1" t="s">
        <v>98</v>
      </c>
    </row>
    <row r="3" spans="2:8" x14ac:dyDescent="0.2">
      <c r="B3" s="2"/>
    </row>
    <row r="5" spans="2:8" x14ac:dyDescent="0.2">
      <c r="B5" s="3" t="s">
        <v>57</v>
      </c>
      <c r="C5" s="3" t="s">
        <v>83</v>
      </c>
      <c r="D5" s="3" t="s">
        <v>86</v>
      </c>
      <c r="E5" s="3" t="s">
        <v>87</v>
      </c>
      <c r="F5" s="3" t="s">
        <v>88</v>
      </c>
      <c r="G5" s="3" t="s">
        <v>89</v>
      </c>
      <c r="H5" s="3" t="s">
        <v>90</v>
      </c>
    </row>
    <row r="6" spans="2:8" x14ac:dyDescent="0.2">
      <c r="B6" s="23" t="s">
        <v>8</v>
      </c>
      <c r="C6" s="24">
        <f>'3. Comp Sheet'!AC6</f>
        <v>6.901138509068025E-2</v>
      </c>
      <c r="D6" s="25">
        <f>'3. Comp Sheet'!AF6</f>
        <v>0.63742169629770018</v>
      </c>
      <c r="E6" s="52">
        <f>'3. Comp Sheet'!AG6</f>
        <v>9.2364715685699501</v>
      </c>
      <c r="F6" s="25">
        <f>'3. Comp Sheet'!AH6</f>
        <v>14.2474345646899</v>
      </c>
      <c r="G6" s="25">
        <f>'3. Comp Sheet'!AI6</f>
        <v>19.773047551260763</v>
      </c>
      <c r="H6" s="25">
        <f>'3. Comp Sheet'!AJ6</f>
        <v>2.5722279792746114</v>
      </c>
    </row>
    <row r="7" spans="2:8" x14ac:dyDescent="0.2">
      <c r="B7" s="26" t="str">
        <f>IF('3. Comp Sheet'!A7="","",'3. Comp Sheet'!A7)</f>
        <v>J Sainsbury</v>
      </c>
      <c r="C7" s="27">
        <f>'3. Comp Sheet'!AC7</f>
        <v>6.680482750213336E-2</v>
      </c>
      <c r="D7" s="28">
        <f>'3. Comp Sheet'!AF7</f>
        <v>0.35602175948311593</v>
      </c>
      <c r="E7" s="28">
        <f>'3. Comp Sheet'!AG7</f>
        <v>5.3292819216058396</v>
      </c>
      <c r="F7" s="28">
        <f>'3. Comp Sheet'!AH7</f>
        <v>11.275855185482625</v>
      </c>
      <c r="G7" s="28">
        <f>'3. Comp Sheet'!AI7</f>
        <v>32.408206496528926</v>
      </c>
      <c r="H7" s="28">
        <f>'3. Comp Sheet'!AJ7</f>
        <v>1.7513686131386861</v>
      </c>
    </row>
    <row r="8" spans="2:8" x14ac:dyDescent="0.2">
      <c r="B8" s="26" t="str">
        <f>IF('3. Comp Sheet'!A8="","",'3. Comp Sheet'!A8)</f>
        <v>Carrefour</v>
      </c>
      <c r="C8" s="27">
        <f>'3. Comp Sheet'!AC8</f>
        <v>5.3626896756917584E-2</v>
      </c>
      <c r="D8" s="28">
        <f>'3. Comp Sheet'!AF8</f>
        <v>0.25299604366938411</v>
      </c>
      <c r="E8" s="28">
        <f>'3. Comp Sheet'!AG8</f>
        <v>4.7177080713093655</v>
      </c>
      <c r="F8" s="28">
        <f>'3. Comp Sheet'!AH8</f>
        <v>9.8507843231325296</v>
      </c>
      <c r="G8" s="28">
        <f>'3. Comp Sheet'!AI8</f>
        <v>35.156716518244515</v>
      </c>
      <c r="H8" s="28">
        <f>'3. Comp Sheet'!AJ8</f>
        <v>2.0750110963160231</v>
      </c>
    </row>
    <row r="9" spans="2:8" x14ac:dyDescent="0.2">
      <c r="B9" s="26" t="str">
        <f>IF('3. Comp Sheet'!A9="","",'3. Comp Sheet'!A9)</f>
        <v>Ahold Delhaize</v>
      </c>
      <c r="C9" s="27">
        <f>'3. Comp Sheet'!AC9</f>
        <v>7.9251126126126129E-2</v>
      </c>
      <c r="D9" s="28">
        <f>'3. Comp Sheet'!AF9</f>
        <v>0.49923688041406794</v>
      </c>
      <c r="E9" s="28">
        <f>'3. Comp Sheet'!AG9</f>
        <v>6.2994294821696952</v>
      </c>
      <c r="F9" s="28">
        <f>'3. Comp Sheet'!AH9</f>
        <v>12.347489121585431</v>
      </c>
      <c r="G9" s="28">
        <f>'3. Comp Sheet'!AI9</f>
        <v>13.872139743816254</v>
      </c>
      <c r="H9" s="28">
        <f>'3. Comp Sheet'!AJ9</f>
        <v>2.0083344719223937</v>
      </c>
    </row>
    <row r="10" spans="2:8" x14ac:dyDescent="0.2">
      <c r="B10" s="26" t="str">
        <f>IF('3. Comp Sheet'!A10="","",'3. Comp Sheet'!A10)</f>
        <v>Jeronimo Martins</v>
      </c>
      <c r="C10" s="27">
        <f>'3. Comp Sheet'!AC10</f>
        <v>6.890611541774333E-2</v>
      </c>
      <c r="D10" s="28">
        <f>'3. Comp Sheet'!AF10</f>
        <v>0.38286688694951515</v>
      </c>
      <c r="E10" s="28">
        <f>'3. Comp Sheet'!AG10</f>
        <v>5.5563556968548387</v>
      </c>
      <c r="F10" s="28">
        <f>'3. Comp Sheet'!AH10</f>
        <v>10.298775880568011</v>
      </c>
      <c r="G10" s="28">
        <f>'3. Comp Sheet'!AI10</f>
        <v>15.866504842414859</v>
      </c>
      <c r="H10" s="28">
        <f>'3. Comp Sheet'!AJ10</f>
        <v>1.3274193548387097</v>
      </c>
    </row>
    <row r="11" spans="2:8" x14ac:dyDescent="0.2">
      <c r="B11" s="26" t="str">
        <f>IF('3. Comp Sheet'!A11="","",'3. Comp Sheet'!A11)</f>
        <v>Colruyt</v>
      </c>
      <c r="C11" s="27">
        <f>'3. Comp Sheet'!AC11</f>
        <v>7.8354465018699263E-2</v>
      </c>
      <c r="D11" s="28">
        <f>'3. Comp Sheet'!AF11</f>
        <v>0.43329306588342614</v>
      </c>
      <c r="E11" s="28">
        <f>'3. Comp Sheet'!AG11</f>
        <v>5.5299090585331792</v>
      </c>
      <c r="F11" s="28">
        <f>'3. Comp Sheet'!AH11</f>
        <v>10.65065444233184</v>
      </c>
      <c r="G11" s="28">
        <f>'3. Comp Sheet'!AI11</f>
        <v>13.002349796083088</v>
      </c>
      <c r="H11" s="28">
        <f>'3. Comp Sheet'!AJ11</f>
        <v>0.42840512223515714</v>
      </c>
    </row>
    <row r="12" spans="2:8" x14ac:dyDescent="0.2">
      <c r="B12" s="26" t="str">
        <f>IF('3. Comp Sheet'!A12="","",'3. Comp Sheet'!A12)</f>
        <v>Kroger</v>
      </c>
      <c r="C12" s="27">
        <f>'3. Comp Sheet'!AC12</f>
        <v>4.8224954629799553E-2</v>
      </c>
      <c r="D12" s="28">
        <f>'3. Comp Sheet'!AF12</f>
        <v>0.38346237384671328</v>
      </c>
      <c r="E12" s="28">
        <f>'3. Comp Sheet'!AG12</f>
        <v>7.9515341546793517</v>
      </c>
      <c r="F12" s="28">
        <f>'3. Comp Sheet'!AH12</f>
        <v>14.6573486171603</v>
      </c>
      <c r="G12" s="28">
        <f>'3. Comp Sheet'!AI12</f>
        <v>13.233071229812381</v>
      </c>
      <c r="H12" s="28">
        <f>'3. Comp Sheet'!AJ12</f>
        <v>2.9804087385482734</v>
      </c>
    </row>
    <row r="13" spans="2:8" x14ac:dyDescent="0.2">
      <c r="B13" s="26" t="str">
        <f>IF('3. Comp Sheet'!A13="","",'3. Comp Sheet'!A13)</f>
        <v/>
      </c>
      <c r="C13" s="27"/>
      <c r="D13" s="28"/>
      <c r="E13" s="28"/>
      <c r="F13" s="28"/>
      <c r="G13" s="28"/>
      <c r="H13" s="28"/>
    </row>
    <row r="14" spans="2:8" x14ac:dyDescent="0.2">
      <c r="B14" s="26" t="str">
        <f>IF('3. Comp Sheet'!A14="","",'3. Comp Sheet'!A14)</f>
        <v/>
      </c>
      <c r="C14" s="27" t="str">
        <f>'3. Comp Sheet'!AC14</f>
        <v/>
      </c>
      <c r="D14" s="28" t="str">
        <f>'3. Comp Sheet'!AF14</f>
        <v/>
      </c>
      <c r="E14" s="28" t="str">
        <f>'3. Comp Sheet'!AG14</f>
        <v/>
      </c>
      <c r="F14" s="28" t="str">
        <f>'3. Comp Sheet'!AH14</f>
        <v/>
      </c>
      <c r="G14" s="28" t="str">
        <f>'3. Comp Sheet'!AI14</f>
        <v/>
      </c>
      <c r="H14" s="28" t="str">
        <f>'3. Comp Sheet'!AJ14</f>
        <v/>
      </c>
    </row>
    <row r="16" spans="2:8" x14ac:dyDescent="0.2">
      <c r="B16" s="29" t="s">
        <v>99</v>
      </c>
      <c r="C16" s="30">
        <f t="shared" ref="C16:H16" si="0">IFERROR(AVERAGE(C7:C14),"")</f>
        <v>6.5861397575236527E-2</v>
      </c>
      <c r="D16" s="31">
        <f t="shared" si="0"/>
        <v>0.38464616837437043</v>
      </c>
      <c r="E16" s="31">
        <f t="shared" si="0"/>
        <v>5.8973697308587107</v>
      </c>
      <c r="F16" s="31">
        <f t="shared" si="0"/>
        <v>11.513484595043456</v>
      </c>
      <c r="G16" s="31">
        <f t="shared" si="0"/>
        <v>20.589831437816667</v>
      </c>
      <c r="H16" s="31">
        <f t="shared" si="0"/>
        <v>1.7618245661665404</v>
      </c>
    </row>
    <row r="17" spans="2:8" x14ac:dyDescent="0.2">
      <c r="B17" s="29" t="s">
        <v>100</v>
      </c>
      <c r="C17" s="30">
        <f t="shared" ref="C17:H17" si="1">IFERROR(MEDIAN(C7:C14),"")</f>
        <v>6.7855471459938338E-2</v>
      </c>
      <c r="D17" s="31">
        <f t="shared" si="1"/>
        <v>0.38316463039811421</v>
      </c>
      <c r="E17" s="51">
        <f t="shared" si="1"/>
        <v>5.5431323776940093</v>
      </c>
      <c r="F17" s="31">
        <f t="shared" si="1"/>
        <v>10.963254813907232</v>
      </c>
      <c r="G17" s="31">
        <f t="shared" si="1"/>
        <v>14.869322293115555</v>
      </c>
      <c r="H17" s="31">
        <f t="shared" si="1"/>
        <v>1.87985154253054</v>
      </c>
    </row>
    <row r="18" spans="2:8" x14ac:dyDescent="0.2">
      <c r="B18" s="29" t="s">
        <v>101</v>
      </c>
      <c r="C18" s="30">
        <f t="shared" ref="C18:H18" si="2">IFERROR(MAX(C7:C14),"")</f>
        <v>7.9251126126126129E-2</v>
      </c>
      <c r="D18" s="31">
        <f t="shared" si="2"/>
        <v>0.49923688041406794</v>
      </c>
      <c r="E18" s="31">
        <f t="shared" si="2"/>
        <v>7.9515341546793517</v>
      </c>
      <c r="F18" s="31">
        <f t="shared" si="2"/>
        <v>14.6573486171603</v>
      </c>
      <c r="G18" s="31">
        <f t="shared" si="2"/>
        <v>35.156716518244515</v>
      </c>
      <c r="H18" s="31">
        <f t="shared" si="2"/>
        <v>2.9804087385482734</v>
      </c>
    </row>
    <row r="19" spans="2:8" x14ac:dyDescent="0.2">
      <c r="B19" s="29" t="s">
        <v>102</v>
      </c>
      <c r="C19" s="30">
        <f t="shared" ref="C19:H19" si="3">IFERROR(MIN(C7:C14),"")</f>
        <v>4.8224954629799553E-2</v>
      </c>
      <c r="D19" s="31">
        <f t="shared" si="3"/>
        <v>0.25299604366938411</v>
      </c>
      <c r="E19" s="31">
        <f t="shared" si="3"/>
        <v>4.7177080713093655</v>
      </c>
      <c r="F19" s="31">
        <f t="shared" si="3"/>
        <v>9.8507843231325296</v>
      </c>
      <c r="G19" s="31">
        <f t="shared" si="3"/>
        <v>13.002349796083088</v>
      </c>
      <c r="H19" s="31">
        <f t="shared" si="3"/>
        <v>0.42840512223515714</v>
      </c>
    </row>
    <row r="21" spans="2:8" ht="277" customHeight="1" x14ac:dyDescent="0.2">
      <c r="B21" s="53" t="s">
        <v>133</v>
      </c>
    </row>
    <row r="22" spans="2:8" ht="39" customHeight="1" x14ac:dyDescent="0.2">
      <c r="B22" s="32"/>
    </row>
    <row r="23" spans="2:8" ht="15.75" customHeight="1" x14ac:dyDescent="0.2"/>
    <row r="24" spans="2:8" ht="15.75" customHeight="1" x14ac:dyDescent="0.2"/>
    <row r="25" spans="2:8" ht="15.75" customHeight="1" x14ac:dyDescent="0.2"/>
    <row r="26" spans="2:8" ht="15.75" customHeight="1" x14ac:dyDescent="0.2"/>
    <row r="27" spans="2:8" ht="15.75" customHeight="1" x14ac:dyDescent="0.2"/>
    <row r="28" spans="2:8" ht="15.75" customHeight="1" x14ac:dyDescent="0.2"/>
    <row r="29" spans="2:8" ht="15.75" customHeight="1" x14ac:dyDescent="0.2"/>
    <row r="30" spans="2:8" ht="15.75" customHeight="1" x14ac:dyDescent="0.2"/>
    <row r="31" spans="2:8" ht="15.75" customHeight="1" x14ac:dyDescent="0.2"/>
    <row r="32" spans="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E1000"/>
  <sheetViews>
    <sheetView showGridLines="0" workbookViewId="0">
      <selection activeCell="B20" sqref="B20"/>
    </sheetView>
  </sheetViews>
  <sheetFormatPr baseColWidth="10" defaultColWidth="14.5" defaultRowHeight="15" customHeight="1" x14ac:dyDescent="0.2"/>
  <cols>
    <col min="1" max="1" width="3" customWidth="1"/>
    <col min="2" max="2" width="40.83203125" customWidth="1"/>
    <col min="3" max="5" width="16" customWidth="1"/>
    <col min="6" max="6" width="8.6640625" customWidth="1"/>
  </cols>
  <sheetData>
    <row r="2" spans="2:5" ht="18" x14ac:dyDescent="0.2">
      <c r="B2" s="1" t="s">
        <v>103</v>
      </c>
    </row>
    <row r="3" spans="2:5" x14ac:dyDescent="0.2">
      <c r="B3" s="2"/>
    </row>
    <row r="5" spans="2:5" x14ac:dyDescent="0.2">
      <c r="C5" s="33" t="s">
        <v>102</v>
      </c>
      <c r="D5" s="33" t="s">
        <v>104</v>
      </c>
      <c r="E5" s="33" t="s">
        <v>101</v>
      </c>
    </row>
    <row r="6" spans="2:5" x14ac:dyDescent="0.2">
      <c r="B6" s="34" t="s">
        <v>131</v>
      </c>
      <c r="C6" s="35">
        <v>4.7</v>
      </c>
      <c r="D6" s="36">
        <f>IFERROR(AVERAGE(C6,E6),"")</f>
        <v>6.35</v>
      </c>
      <c r="E6" s="35">
        <v>8</v>
      </c>
    </row>
    <row r="7" spans="2:5" x14ac:dyDescent="0.2">
      <c r="B7" s="37" t="s">
        <v>105</v>
      </c>
      <c r="C7" s="38">
        <f>'3. Comp Sheet'!X6</f>
        <v>4825000000</v>
      </c>
      <c r="D7" s="38">
        <f>'3. Comp Sheet'!X6</f>
        <v>4825000000</v>
      </c>
      <c r="E7" s="38">
        <f>'3. Comp Sheet'!X6</f>
        <v>4825000000</v>
      </c>
    </row>
    <row r="8" spans="2:5" x14ac:dyDescent="0.2">
      <c r="B8" s="37" t="s">
        <v>106</v>
      </c>
      <c r="C8" s="39">
        <f t="shared" ref="C8:E8" si="0">IFERROR(C6*C7,"")</f>
        <v>22677500000</v>
      </c>
      <c r="D8" s="39">
        <f t="shared" si="0"/>
        <v>30638750000</v>
      </c>
      <c r="E8" s="39">
        <f t="shared" si="0"/>
        <v>38600000000</v>
      </c>
    </row>
    <row r="9" spans="2:5" ht="30" x14ac:dyDescent="0.2">
      <c r="B9" s="37" t="s">
        <v>107</v>
      </c>
      <c r="C9" s="38">
        <f>-('3. Comp Sheet'!P6-IF('3. Comp Sheet'!M6&gt;0,'3. Comp Sheet'!K6,0)-'3. Comp Sheet'!Q6)</f>
        <v>-12411000000</v>
      </c>
      <c r="D9" s="38">
        <f>-('3. Comp Sheet'!P6-IF('3. Comp Sheet'!M6&gt;0,'3. Comp Sheet'!K6,0)-'3. Comp Sheet'!Q6)</f>
        <v>-12411000000</v>
      </c>
      <c r="E9" s="38">
        <f>-('3. Comp Sheet'!P6-IF('3. Comp Sheet'!M6&gt;0,'3. Comp Sheet'!K6,0)-'3. Comp Sheet'!Q6)</f>
        <v>-12411000000</v>
      </c>
    </row>
    <row r="10" spans="2:5" x14ac:dyDescent="0.2">
      <c r="B10" s="37" t="s">
        <v>108</v>
      </c>
      <c r="C10" s="38">
        <f>-'3. Comp Sheet'!R6</f>
        <v>0</v>
      </c>
      <c r="D10" s="38">
        <f>-'3. Comp Sheet'!R6</f>
        <v>0</v>
      </c>
      <c r="E10" s="38">
        <f>-'3. Comp Sheet'!R6</f>
        <v>0</v>
      </c>
    </row>
    <row r="11" spans="2:5" x14ac:dyDescent="0.2">
      <c r="B11" s="37" t="s">
        <v>109</v>
      </c>
      <c r="C11" s="38">
        <f>-'3. Comp Sheet'!S6</f>
        <v>-4000000</v>
      </c>
      <c r="D11" s="38">
        <f>-'3. Comp Sheet'!S6</f>
        <v>-4000000</v>
      </c>
      <c r="E11" s="38">
        <f>-'3. Comp Sheet'!S6</f>
        <v>-4000000</v>
      </c>
    </row>
    <row r="12" spans="2:5" x14ac:dyDescent="0.2">
      <c r="B12" s="40" t="s">
        <v>110</v>
      </c>
      <c r="C12" s="41">
        <f t="shared" ref="C12:E12" si="1">IFERROR(C8+C9+C10+C11,"")</f>
        <v>10262500000</v>
      </c>
      <c r="D12" s="41">
        <f t="shared" si="1"/>
        <v>18223750000</v>
      </c>
      <c r="E12" s="41">
        <f t="shared" si="1"/>
        <v>26185000000</v>
      </c>
    </row>
    <row r="13" spans="2:5" x14ac:dyDescent="0.2">
      <c r="B13" s="37" t="s">
        <v>111</v>
      </c>
      <c r="C13" s="38">
        <f>'3. Comp Sheet'!N6</f>
        <v>6840633046.4574471</v>
      </c>
      <c r="D13" s="38">
        <f>'3. Comp Sheet'!N6</f>
        <v>6840633046.4574471</v>
      </c>
      <c r="E13" s="38">
        <f>'3. Comp Sheet'!N6</f>
        <v>6840633046.4574471</v>
      </c>
    </row>
    <row r="14" spans="2:5" x14ac:dyDescent="0.2">
      <c r="B14" s="42" t="s">
        <v>112</v>
      </c>
      <c r="C14" s="43">
        <f t="shared" ref="C14:E14" si="2">IFERROR(C12/C13,"")</f>
        <v>1.5002266501218966</v>
      </c>
      <c r="D14" s="43">
        <f t="shared" si="2"/>
        <v>2.6640443766293704</v>
      </c>
      <c r="E14" s="43">
        <f t="shared" si="2"/>
        <v>3.8278621031368441</v>
      </c>
    </row>
    <row r="15" spans="2:5" x14ac:dyDescent="0.2">
      <c r="B15" s="37" t="s">
        <v>113</v>
      </c>
      <c r="C15" s="39">
        <f t="shared" ref="C15:E15" si="3">IFERROR(C14*100,"")</f>
        <v>150.02266501218966</v>
      </c>
      <c r="D15" s="39">
        <f t="shared" si="3"/>
        <v>266.40443766293703</v>
      </c>
      <c r="E15" s="39">
        <f t="shared" si="3"/>
        <v>382.78621031368442</v>
      </c>
    </row>
    <row r="17" spans="2:3" x14ac:dyDescent="0.2">
      <c r="B17" s="44" t="s">
        <v>114</v>
      </c>
      <c r="C17" s="45">
        <f>'3. Comp Sheet'!D6</f>
        <v>4.7</v>
      </c>
    </row>
    <row r="18" spans="2:3" x14ac:dyDescent="0.2">
      <c r="B18" s="44" t="s">
        <v>115</v>
      </c>
      <c r="C18" s="46">
        <f>IFERROR(D14/C17-1,"")</f>
        <v>-0.43318204752566591</v>
      </c>
    </row>
    <row r="20" spans="2:3" ht="91" x14ac:dyDescent="0.2">
      <c r="B20" s="53" t="s">
        <v>132</v>
      </c>
    </row>
    <row r="21" spans="2:3" ht="15.75" customHeight="1" x14ac:dyDescent="0.2"/>
    <row r="22" spans="2:3" ht="15.75" customHeight="1" x14ac:dyDescent="0.2"/>
    <row r="23" spans="2:3" ht="15.75" customHeight="1" x14ac:dyDescent="0.2"/>
    <row r="24" spans="2:3" ht="15.75" customHeight="1" x14ac:dyDescent="0.2"/>
    <row r="25" spans="2:3" ht="15.75" customHeight="1" x14ac:dyDescent="0.2"/>
    <row r="26" spans="2:3" ht="15.75" customHeight="1" x14ac:dyDescent="0.2"/>
    <row r="27" spans="2:3" ht="15.75" customHeight="1" x14ac:dyDescent="0.2"/>
    <row r="28" spans="2:3" ht="15.75" customHeight="1" x14ac:dyDescent="0.2"/>
    <row r="29" spans="2:3" ht="15.75" customHeight="1" x14ac:dyDescent="0.2"/>
    <row r="30" spans="2:3" ht="15.75" customHeight="1" x14ac:dyDescent="0.2"/>
    <row r="31" spans="2:3" ht="15.75" customHeight="1" x14ac:dyDescent="0.2"/>
    <row r="32" spans="2: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2. Universe</vt:lpstr>
      <vt:lpstr>3. Comp Sheet</vt:lpstr>
      <vt:lpstr>4. Benchmark</vt:lpstr>
      <vt:lpstr>5.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COTTLE, RUFUS (UG)</cp:lastModifiedBy>
  <dcterms:created xsi:type="dcterms:W3CDTF">2026-07-06T18:01:35Z</dcterms:created>
  <dcterms:modified xsi:type="dcterms:W3CDTF">2026-07-10T11:23:37Z</dcterms:modified>
</cp:coreProperties>
</file>